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S\"/>
    </mc:Choice>
  </mc:AlternateContent>
  <xr:revisionPtr revIDLastSave="0" documentId="13_ncr:1_{8FC12121-5C7E-474D-A1FA-674695995318}" xr6:coauthVersionLast="47" xr6:coauthVersionMax="47" xr10:uidLastSave="{00000000-0000-0000-0000-000000000000}"/>
  <bookViews>
    <workbookView xWindow="-96" yWindow="0" windowWidth="11712" windowHeight="12336" firstSheet="6" activeTab="8" xr2:uid="{00000000-000D-0000-FFFF-FFFF00000000}"/>
  </bookViews>
  <sheets>
    <sheet name="INFO" sheetId="1" r:id="rId1"/>
    <sheet name="Body" sheetId="2" r:id="rId2"/>
    <sheet name="Aero" sheetId="3" r:id="rId3"/>
    <sheet name="SuspA1_Linkage_F" sheetId="4" r:id="rId4"/>
    <sheet name="SuspA1_ARB_Steer" sheetId="5" r:id="rId5"/>
    <sheet name="SuspA2_Linkage_R" sheetId="6" r:id="rId6"/>
    <sheet name="Spring_Damper" sheetId="7" r:id="rId7"/>
    <sheet name="Tires" sheetId="8" r:id="rId8"/>
    <sheet name="Powertrain" sheetId="9" r:id="rId9"/>
    <sheet name="Brak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7" l="1"/>
  <c r="C22" i="7"/>
  <c r="C18" i="7"/>
  <c r="C17" i="7"/>
</calcChain>
</file>

<file path=xl/sharedStrings.xml><?xml version="1.0" encoding="utf-8"?>
<sst xmlns="http://schemas.openxmlformats.org/spreadsheetml/2006/main" count="885" uniqueCount="640">
  <si>
    <t>FSAE Formula Student — Digitální Dvojče Parametre (DWPushrod)</t>
  </si>
  <si>
    <t>Účel</t>
  </si>
  <si>
    <t>Tento sešit slouží jako vstupní formulář pro parametry digitálního dvojčete vozu Achilles s odpružením DoubleWishbone Pushrod. Žluté buňky ve sloupci 'Value' jsou určeny k editaci týmem.</t>
  </si>
  <si>
    <t>Typ odpružení</t>
  </si>
  <si>
    <t>DoubleWishbone Pushrod — přední i zadní náprava. Shock absorber se ovládá přes pushrod a bellcrank páku připevněnou na spodním trojúhelníku (SuspA1) nebo horním (SuspA2).</t>
  </si>
  <si>
    <t>Jak použít</t>
  </si>
  <si>
    <t>1. Doplňte hodnoty v žlutých buňkách (sloupec C).
2. Uložte soubor.
3. Spusťte MATLAB skript 'import_fsae_excel_to_matlab.m' ve složce projektu.
4. Skript přepíše 'Vehicle_data_dwpushrod.m' aktuálními hodnotami a spustí simulaci.</t>
  </si>
  <si>
    <t>Souřadnicový systém</t>
  </si>
  <si>
    <t>X vpřed, Y vlevo, Z nahoru. Rozměry v metrech [m], hmotnosti v [kg], tuhosti v [N/m] nebo [N/mm], tlumení v [N/(m/s)].</t>
  </si>
  <si>
    <t>Licence dat</t>
  </si>
  <si>
    <t>Výstupní .m soubor je kompatibilní se Simscape Vehicle Templates (MathWorks). Zkontrolujte shodu s pravidly FSAE.</t>
  </si>
  <si>
    <t>Kontakt</t>
  </si>
  <si>
    <t>Váš tým / vedoucí projektu</t>
  </si>
  <si>
    <t>Karoserie a geometrie (Body)</t>
  </si>
  <si>
    <t>Hmotnost, setrvačnost, polohy náprav, závěsy a geometrie vozu</t>
  </si>
  <si>
    <t>Parameter Name</t>
  </si>
  <si>
    <t>MATLAB Field Path</t>
  </si>
  <si>
    <t>Value</t>
  </si>
  <si>
    <t>Units</t>
  </si>
  <si>
    <t>Comment / Popis parametru</t>
  </si>
  <si>
    <t>Validátor / Rozsah</t>
  </si>
  <si>
    <t xml:space="preserve">  ▶  Základní geometrie karoserie</t>
  </si>
  <si>
    <t>Poloha přední nápravy (sAxle1)</t>
  </si>
  <si>
    <t>Vehicle.Chassis.Body.sAxle1.Value</t>
  </si>
  <si>
    <t>[0, 0, 0]</t>
  </si>
  <si>
    <t>m</t>
  </si>
  <si>
    <t>Poloha osy přední nápravy v tělese vozu [x,y,z]. Přední náprava = počátek souřadnicového systému.</t>
  </si>
  <si>
    <t>[3x1 double]</t>
  </si>
  <si>
    <t>Poloha zadní nápravy (sAxle2)</t>
  </si>
  <si>
    <t>Vehicle.Chassis.Body.sAxle2.Value</t>
  </si>
  <si>
    <t>[-1.53, 0, 0]</t>
  </si>
  <si>
    <t>Vzdálenost rozvor náprav. Záporné X = vzadu. Pro typický FSAE vůz 1,5–1,7 m.</t>
  </si>
  <si>
    <t>[-2.0 .. -1.3, 0, 0]</t>
  </si>
  <si>
    <t>Těžiště (sCG)</t>
  </si>
  <si>
    <t>Vehicle.Chassis.Body.sCG.Value</t>
  </si>
  <si>
    <t>[-0.8, 0, 0.289]</t>
  </si>
  <si>
    <t>Souřadnice těžiště. X: poloha mezi nápravami (záporné = vzadu od přední). Z: výška CoG nad osami. FSAE typicky 0.25–0.35 m.</t>
  </si>
  <si>
    <t>[-1.5..0, 0, 0.2..0.45]</t>
  </si>
  <si>
    <t>Poloha pohonu (sPower)</t>
  </si>
  <si>
    <t>Vehicle.Chassis.Body.sPower.Value</t>
  </si>
  <si>
    <t>[-1, 0, 0]</t>
  </si>
  <si>
    <t>Referenční bod pro vizualizaci pohonné jednotky.</t>
  </si>
  <si>
    <t>Šířka vozu (Width)</t>
  </si>
  <si>
    <t>Vehicle.Chassis.Body.Width.Value</t>
  </si>
  <si>
    <t>Celková šířka = 2 × Y poloha středu kola + 0.2 m. FSAE max 1,5 m.</t>
  </si>
  <si>
    <t>1.2..1.5</t>
  </si>
  <si>
    <t xml:space="preserve">  ▶  Hmotnostní a setrvačné parametry</t>
  </si>
  <si>
    <t>Hmotnost karoserie + řidič (m)</t>
  </si>
  <si>
    <t>Vehicle.Chassis.Body.m.Value</t>
  </si>
  <si>
    <t>kg</t>
  </si>
  <si>
    <t>Hmotnost rámu, karoserie a řidiče. Bez kol. FSAE min. celková hmotnost 250 kg. Typicky 160–200 kg.</t>
  </si>
  <si>
    <t>100..250</t>
  </si>
  <si>
    <t>Moment setrvačnosti Ixx (roll)</t>
  </si>
  <si>
    <t>Vehicle.Chassis.Body.J.Value[1]</t>
  </si>
  <si>
    <t>kg*m²</t>
  </si>
  <si>
    <t>Moment setrvačnosti kolem podélné osy X (klopení). Určuje odezvu na klopení.</t>
  </si>
  <si>
    <t>20..80</t>
  </si>
  <si>
    <t>Moment setrvačnosti Iyy (pitch)</t>
  </si>
  <si>
    <t>Vehicle.Chassis.Body.J.Value[2]</t>
  </si>
  <si>
    <t>Moment setrvačnosti kolem příčné osy Y (kývání). Ovlivňuje podélnou dynamiku.</t>
  </si>
  <si>
    <t>100..300</t>
  </si>
  <si>
    <t>Moment setrvačnosti Izz (yaw)</t>
  </si>
  <si>
    <t>Vehicle.Chassis.Body.J.Value[3]</t>
  </si>
  <si>
    <t>Moment setrvačnosti kolem svislé osy Z (zatáčení). Klíčový pro agilitu zatáčení.</t>
  </si>
  <si>
    <t xml:space="preserve">  ▶  Geometrie propojení karoserie</t>
  </si>
  <si>
    <t>Přední závěs tažného zařízení (sHitchF)</t>
  </si>
  <si>
    <t>Vehicle.Chassis.Body.sHitchF.Value</t>
  </si>
  <si>
    <t>[0.25, 0, 0.403]</t>
  </si>
  <si>
    <t>Umístění předního závěsného bodu (jen pro trailer konfiguraci). Standardně nevyužito.</t>
  </si>
  <si>
    <t>—</t>
  </si>
  <si>
    <t>Zadní závěs tažného zařízení (sHitchR)</t>
  </si>
  <si>
    <t>Vehicle.Chassis.Body.sHitchR.Value</t>
  </si>
  <si>
    <t>[-1.75, 0, 0.403]</t>
  </si>
  <si>
    <t>Umístění zadního závěsného bodu (jen pro trailer konfiguraci). Standardně nevyužito.</t>
  </si>
  <si>
    <t>Aerodynamika (Aero)</t>
  </si>
  <si>
    <t>Aerodynamické koeficienty: přítlak, odpor, referenční plocha, hustota vzduchu</t>
  </si>
  <si>
    <t xml:space="preserve">  ▶  Aerodynamické koeficienty</t>
  </si>
  <si>
    <t>Součinitel vztlaku CL</t>
  </si>
  <si>
    <t>Vehicle.Chassis.Aero.CL.Value</t>
  </si>
  <si>
    <t>Záporná hodnota = downforce (přítlak dolů). FSAE vozy: typicky -1.5 až -4.0. Čím zápornější, tím větší downforce.</t>
  </si>
  <si>
    <t>-5.0..0.0</t>
  </si>
  <si>
    <t>Součinitel odporu CD</t>
  </si>
  <si>
    <t>Vehicle.Chassis.Aero.CD.Value</t>
  </si>
  <si>
    <t>Aerodynamický odpor. FSAE typicky 1.0–1.8. Nižší = méně odporu, vyšší rychlost.</t>
  </si>
  <si>
    <t>0.5..2.5</t>
  </si>
  <si>
    <t>Hustota vzduchu (rho_air)</t>
  </si>
  <si>
    <t>Vehicle.Chassis.Aero.rho_air.Value</t>
  </si>
  <si>
    <t>kg/m³</t>
  </si>
  <si>
    <t>Hustota vzduchu při 15°C, 101 325 Pa. Standardní hodnota ISA. Upravte pro jiné podmínky (nadmořská výška, teplota).</t>
  </si>
  <si>
    <t>1.0..1.4</t>
  </si>
  <si>
    <t>Referenční plocha (ARef)</t>
  </si>
  <si>
    <t>Vehicle.Chassis.Aero.ARef.Value</t>
  </si>
  <si>
    <t>m²</t>
  </si>
  <si>
    <t>Čelní (referenční) plocha vozu pro výpočet aerodyn. sil. FSAE typicky 0.8–1.5 m².</t>
  </si>
  <si>
    <t>0.5..2.0</t>
  </si>
  <si>
    <t>Střed tlaku (sPressureCentre)</t>
  </si>
  <si>
    <t>Vehicle.Chassis.Aero.sPressureCentre.Value</t>
  </si>
  <si>
    <t>[-0.8, 0, 0.6]</t>
  </si>
  <si>
    <t>Aplikační bod aerodynamické síly. X záporné = za přední nápravou, Z = výška. Ovlivňuje přídavné zatížení náprav.</t>
  </si>
  <si>
    <t xml:space="preserve">  ▶  Informace o aero konfiguraci</t>
  </si>
  <si>
    <t>Typ aero (class)</t>
  </si>
  <si>
    <t>Vehicle.Chassis.Aero.class.Value</t>
  </si>
  <si>
    <t>sedan</t>
  </si>
  <si>
    <t>Identifikátor třídy pro Simscape. Pro FSAE použijte 'sedan'. Tento řetězec určuje variantu bloku v modelu.</t>
  </si>
  <si>
    <t>Přední zavěšení — Linkage (SuspA1 Pushrod)</t>
  </si>
  <si>
    <t>Geometrie dvojitého lichoběžníku s pushrod systémem — přední náprava</t>
  </si>
  <si>
    <t xml:space="preserve">  ▶  Dolní trojúhelník (Lower Wishbone)</t>
  </si>
  <si>
    <t>Vnitřní přední bod LW</t>
  </si>
  <si>
    <t>Vehicle.Chassis.SuspA1.Linkage.LowerWishbone.sInboardF.Value</t>
  </si>
  <si>
    <t>[0.06624, 0.16783, 0.11957]</t>
  </si>
  <si>
    <t>Přední vnitřní (na rámu) bod dolního trojúhelníku [x,y,z]. Klíčové pro anti-dive geometrii.</t>
  </si>
  <si>
    <t>Vnitřní zadní bod LW</t>
  </si>
  <si>
    <t>Vehicle.Chassis.SuspA1.Linkage.LowerWishbone.sInboardR.Value</t>
  </si>
  <si>
    <t>[-0.11, 0.1882, 0.11957]</t>
  </si>
  <si>
    <t>Zadní vnitřní bod dolního trojúhelníku. Spolu s InboardF určuje osu klopení ramene.</t>
  </si>
  <si>
    <t>Vnější bod LW (upright)</t>
  </si>
  <si>
    <t>Vehicle.Chassis.SuspA1.Linkage.LowerWishbone.sOutboard.Value</t>
  </si>
  <si>
    <t>[-0.008, 0.58015, 0.15789]</t>
  </si>
  <si>
    <t>Vnější bod dolního trojúhelníku připojený k upright/těhlici.</t>
  </si>
  <si>
    <t>Hmotnost LW</t>
  </si>
  <si>
    <t>Vehicle.Chassis.SuspA1.Linkage.LowerWishbone.m.Value</t>
  </si>
  <si>
    <t>Hmotnost dolního trojúhelníku včetně spojovacích prvků.</t>
  </si>
  <si>
    <t>1.0..10.0</t>
  </si>
  <si>
    <t xml:space="preserve">  ▶  Horní trojúhelník (Upper Wishbone)</t>
  </si>
  <si>
    <t>Vnitřní přední bod UW</t>
  </si>
  <si>
    <t>Vehicle.Chassis.SuspA1.Linkage.UpperWishbone.sInboardF.Value</t>
  </si>
  <si>
    <t>[0.056, 0.256, 0.24857]</t>
  </si>
  <si>
    <t>Přední vnitřní bod horního trojúhelníku. Výška Z určuje okamžitý střed klopení (roll center).</t>
  </si>
  <si>
    <t>Vnitřní zadní bod UW</t>
  </si>
  <si>
    <t>Vehicle.Chassis.SuspA1.Linkage.UpperWishbone.sInboardR.Value</t>
  </si>
  <si>
    <t>[-0.12769, 0.26199, 0.22857]</t>
  </si>
  <si>
    <t>Zadní vnitřní bod horního trojúhelníku.</t>
  </si>
  <si>
    <t>Vnější bod UW (upright)</t>
  </si>
  <si>
    <t>Vehicle.Chassis.SuspA1.Linkage.UpperWishbone.sOutboard.Value</t>
  </si>
  <si>
    <t>[-0.03, 0.56626, 0.31677]</t>
  </si>
  <si>
    <t>Vnější bod horního trojúhelníku. Délka ramene určuje camber gain při zdvihu.</t>
  </si>
  <si>
    <t>Hmotnost UW</t>
  </si>
  <si>
    <t>Vehicle.Chassis.SuspA1.Linkage.UpperWishbone.m.Value</t>
  </si>
  <si>
    <t>Hmotnost horního trojúhelníku.</t>
  </si>
  <si>
    <t>1.0..8.0</t>
  </si>
  <si>
    <t xml:space="preserve">  ▶  Těhlice (Upright)</t>
  </si>
  <si>
    <t>Těžiště těhlice (sCG)</t>
  </si>
  <si>
    <t>Vehicle.Chassis.SuspA1.Linkage.Upright.sCG.Value</t>
  </si>
  <si>
    <t>[-0.01428, 0.58973, 0.22513]</t>
  </si>
  <si>
    <t>Poloha těžiště těhlice v souřadnicovém systému přední nápravy.</t>
  </si>
  <si>
    <t>Střed kola (sWheelCentre)</t>
  </si>
  <si>
    <t>Vehicle.Chassis.SuspA1.Linkage.Upright.sWheelCentre.Value</t>
  </si>
  <si>
    <t>[0, 0.619, 0.23323]</t>
  </si>
  <si>
    <t>Poloha středu kola. Y = polovina rozchodu, Z = poloměr kola od osy nápravy. KLÍČOVÝ parametr!</t>
  </si>
  <si>
    <t>Y: 0.55..0.65</t>
  </si>
  <si>
    <t>Odklonění kola (aCamber)</t>
  </si>
  <si>
    <t>Vehicle.Chassis.SuspA1.Linkage.Upright.aCamber.Value</t>
  </si>
  <si>
    <t>deg</t>
  </si>
  <si>
    <t>Statický camber (záporný = záporný camber). Pro FSAE typicky 0 až -3°. Ovlivňuje kontaktní plochu v zatáčce.</t>
  </si>
  <si>
    <t>-4..1</t>
  </si>
  <si>
    <t>Sbíhavost (aToe)</t>
  </si>
  <si>
    <t>Vehicle.Chassis.SuspA1.Linkage.Upright.aToe.Value</t>
  </si>
  <si>
    <t>Statická sbíhavost přední nápravy. Záporné = rozbíhavost, kladné = sbíhavost. FSAE typicky ±2°.</t>
  </si>
  <si>
    <t>-3..3</t>
  </si>
  <si>
    <t>Délka osy kola (xAxle)</t>
  </si>
  <si>
    <t>Vehicle.Chassis.SuspA1.Linkage.Upright.xAxle.Value</t>
  </si>
  <si>
    <t>Délka čepu kola od středu kola k těhlici.</t>
  </si>
  <si>
    <t>0.05..0.25</t>
  </si>
  <si>
    <t>Hmotnost těhlice (m)</t>
  </si>
  <si>
    <t>Vehicle.Chassis.SuspA1.Linkage.Upright.m.Value</t>
  </si>
  <si>
    <t>Hmotnost těhlice (bez kola a brzdy).</t>
  </si>
  <si>
    <t>0.5..3.0</t>
  </si>
  <si>
    <t>Hmotnost osy kola (mAxle)</t>
  </si>
  <si>
    <t>Vehicle.Chassis.SuspA1.Linkage.Upright.mAxle.Value</t>
  </si>
  <si>
    <t>Hmotnost čepu/osy kola.</t>
  </si>
  <si>
    <t>0.3..3.0</t>
  </si>
  <si>
    <t xml:space="preserve">  ▶  Řídicí tyč (Track Rod / Toe Link)</t>
  </si>
  <si>
    <t>Vnitřní bod track rod</t>
  </si>
  <si>
    <t>Vehicle.Chassis.SuspA1.Linkage.TrackRod.sInboard.Value</t>
  </si>
  <si>
    <t>[0.0905, 0.179, 0.11927]</t>
  </si>
  <si>
    <t>Vnitřní bod řídicí tyče = výstup řízení (hřeben). MUSÍ odpovídat Steer.Rack.sOutboard!</t>
  </si>
  <si>
    <t>Vnější bod track rod</t>
  </si>
  <si>
    <t>Vehicle.Chassis.SuspA1.Linkage.TrackRod.sOutboard.Value</t>
  </si>
  <si>
    <t>[0.038, 0.59246, 0.15639]</t>
  </si>
  <si>
    <t>Vnější bod řídicí tyče připojený k těhlici. Poloha určuje Ackermann geometrii.</t>
  </si>
  <si>
    <t>Hmotnost track rod</t>
  </si>
  <si>
    <t>Vehicle.Chassis.SuspA1.Linkage.TrackRod.m.Value</t>
  </si>
  <si>
    <t>Hmotnost řídicí tyče. (Hodnota zdá se přehnaná — zkontrolujte reálnou hmotnost ~0.2–0.5 kg)</t>
  </si>
  <si>
    <t>0.1..1.0</t>
  </si>
  <si>
    <t xml:space="preserve">  ▶  Tlumič/Shock (geometrie uložení)</t>
  </si>
  <si>
    <t>Horní bod tlumiče (sTop)</t>
  </si>
  <si>
    <t>Vehicle.Chassis.SuspA1.Linkage.Shock.sTop.Value</t>
  </si>
  <si>
    <t>[0.1702, 0.15, 0.4]</t>
  </si>
  <si>
    <t>Horní uložení tlumiče na rámu. Z = výška od základní roviny. Musí souhlasit s hodnotou v Spring/Damper listu!</t>
  </si>
  <si>
    <t>Dolní bod tlumiče (sBottom)</t>
  </si>
  <si>
    <t>Vehicle.Chassis.SuspA1.Linkage.Shock.sBottom.Value</t>
  </si>
  <si>
    <t>[-0.01342, 0.15827, 0.4]</t>
  </si>
  <si>
    <t>Dolní uložení tlumiče na bellcrank páce. Musí souhlasit s hodnotou v Spring/Damper listu!</t>
  </si>
  <si>
    <t>Hmotnost pístu tlumiče (mPiston)</t>
  </si>
  <si>
    <t>Vehicle.Chassis.SuspA1.Linkage.Shock.mPiston.Value</t>
  </si>
  <si>
    <t>Hmotnost pohyblivé části tlumiče (pístnice + píst).</t>
  </si>
  <si>
    <t>0.2..2.0</t>
  </si>
  <si>
    <t>Hmotnost válce tlumiče (mCylinder)</t>
  </si>
  <si>
    <t>Vehicle.Chassis.SuspA1.Linkage.Shock.mCylinder.Value</t>
  </si>
  <si>
    <t>Hmotnost stacionární části tlumiče (válec, tělo).</t>
  </si>
  <si>
    <t xml:space="preserve">  ▶  Endstop (doraz zdvihu)</t>
  </si>
  <si>
    <t>Max. zdvih tlumiče (xMax)</t>
  </si>
  <si>
    <t>Vehicle.Chassis.SuspA1.Linkage.Endstop.xMax.Value</t>
  </si>
  <si>
    <t>Maximální stlačení tlumiče do dorazu (bump). Musí odpovídat nastavení v Damper Axle1!</t>
  </si>
  <si>
    <t>0.01..0.08</t>
  </si>
  <si>
    <t>Min. zdvih tlumiče (xMin)</t>
  </si>
  <si>
    <t>Vehicle.Chassis.SuspA1.Linkage.Endstop.xMin.Value</t>
  </si>
  <si>
    <t>Maximální vysunutí tlumiče (rebound). Záporné číslo. Musí odpovídat nastavení v Damper Axle1!</t>
  </si>
  <si>
    <t>-0.08..-0.01</t>
  </si>
  <si>
    <t xml:space="preserve">  ▶  Pushrod systém</t>
  </si>
  <si>
    <t>Bod na dolním trojúhelníku (sLowerArm)</t>
  </si>
  <si>
    <t>Vehicle.Chassis.SuspA1.Linkage.Pushrod.sLowerArm.Value</t>
  </si>
  <si>
    <t>[-0.029, 0.5475, 0.17]</t>
  </si>
  <si>
    <t>Bod připojení pushrodu na dolním trojúhelníku. Klíčový pro motion ratio.</t>
  </si>
  <si>
    <t>Bod na bellcrank (sBellcrank)</t>
  </si>
  <si>
    <t>Vehicle.Chassis.SuspA1.Linkage.Pushrod.sBellcrank.Value</t>
  </si>
  <si>
    <t>[-0.07, 0.25406, 0.4]</t>
  </si>
  <si>
    <t>Bod připojení pushrodu na bellcrank páce. Určuje motion ratio.</t>
  </si>
  <si>
    <t>Hmotnost pushrodu</t>
  </si>
  <si>
    <t>Vehicle.Chassis.SuspA1.Linkage.Pushrod.m.Value</t>
  </si>
  <si>
    <t>Hmotnost tyče pushrodu. Typicky karbonová nebo titanová. ~50–100 g.</t>
  </si>
  <si>
    <t>0.02..0.3</t>
  </si>
  <si>
    <t xml:space="preserve">  ▶  Bellcrank páka</t>
  </si>
  <si>
    <t>Otočný čep bellcranku (sPivot)</t>
  </si>
  <si>
    <t>Vehicle.Chassis.SuspA1.Linkage.Bellcrank.sPivot.Value</t>
  </si>
  <si>
    <t>[-0.015, 0.25, 0.4]</t>
  </si>
  <si>
    <t>Bod otáčení bellcrank páky na rámu. Poloha určuje geometrii pohybu.</t>
  </si>
  <si>
    <t>Bod ARB na bellcranku (sAntiRollBar)</t>
  </si>
  <si>
    <t>Vehicle.Chassis.SuspA1.Linkage.Bellcrank.sAntiRollBar.Value</t>
  </si>
  <si>
    <t>[-0.0143, 0.16591, 0.35]</t>
  </si>
  <si>
    <t>Bod připojení stabilizátoru na bellcranku. MUSÍ souhlasit s AntiRollBar.sSuspension!</t>
  </si>
  <si>
    <t>Hmotnost bellcranku</t>
  </si>
  <si>
    <t>Vehicle.Chassis.SuspA1.Linkage.Bellcrank.m.Value</t>
  </si>
  <si>
    <t>Hmotnost bellcrank páky.</t>
  </si>
  <si>
    <t>0.05..0.5</t>
  </si>
  <si>
    <t>Přední náprava — Stabilizátor &amp; Řízení (SuspA1)</t>
  </si>
  <si>
    <t>Anti-roll bar a řídící systém přední nápravy</t>
  </si>
  <si>
    <t xml:space="preserve">  ▶  Stabilizátor přední nápravy (Anti-Roll Bar)</t>
  </si>
  <si>
    <t>Bod ARB na zavěšení (sSuspension)</t>
  </si>
  <si>
    <t>Vehicle.Chassis.SuspA1.AntiRollBar.sSuspension.Value</t>
  </si>
  <si>
    <t>Bod připojení tyče stabilizátoru na bellcranku. MUSÍ = Bellcrank.sAntiRollBar!</t>
  </si>
  <si>
    <t>Vnější bod ARB</t>
  </si>
  <si>
    <t>Vehicle.Chassis.SuspA1.AntiRollBar.sOutboard.Value</t>
  </si>
  <si>
    <t>[0.14255, 0.162, 0.34]</t>
  </si>
  <si>
    <t>Vnější bod stabilizátoru (konec tyče ARB).</t>
  </si>
  <si>
    <t>Vnitřní bod ARB (sInboard)</t>
  </si>
  <si>
    <t>Vehicle.Chassis.SuspA1.AntiRollBar.sInboard.Value</t>
  </si>
  <si>
    <t>[0.126, 0.1595, 0.28]</t>
  </si>
  <si>
    <t>Vnitřní bod ramene stabilizátoru u uložení na rámu.</t>
  </si>
  <si>
    <t>Bod uložení ARB na rámu (sMount)</t>
  </si>
  <si>
    <t>Vehicle.Chassis.SuspA1.AntiRollBar.sMount.Value</t>
  </si>
  <si>
    <t>[0.126, 0.08, 0.28]</t>
  </si>
  <si>
    <t>Uložení kroucené tyče stabilizátoru na rámu vozu.</t>
  </si>
  <si>
    <t>Torzní tuhost ARB (k)</t>
  </si>
  <si>
    <t>Vehicle.Chassis.SuspA1.AntiRollBar.k.Value</t>
  </si>
  <si>
    <t>N*m/deg</t>
  </si>
  <si>
    <t>Torzní tuhost stabilizátoru. Vyšší = tvrdší přední stabilizátor, méně klopení, více přetáčivosti. Výpočet: π(D⁴-d⁴)G/32L</t>
  </si>
  <si>
    <t>5..100</t>
  </si>
  <si>
    <t>Tlumení ARB (d)</t>
  </si>
  <si>
    <t>Vehicle.Chassis.SuspA1.AntiRollBar.d.Value</t>
  </si>
  <si>
    <t>N*m/(deg/s)</t>
  </si>
  <si>
    <t>Tlumení stabilizátoru. Obvykle nízká hodnota — stabilizátor neprimárně tlumí.</t>
  </si>
  <si>
    <t>0..20</t>
  </si>
  <si>
    <t>Hmotnost ARB (m)</t>
  </si>
  <si>
    <t>Vehicle.Chassis.SuspA1.AntiRollBar.m.Value</t>
  </si>
  <si>
    <t>Celková hmotnost sestavy stabilizátoru. (Hodnota zdá se vysoká — typicky ~0.5–2 kg pro FSAE)</t>
  </si>
  <si>
    <t>0.3..5.0</t>
  </si>
  <si>
    <t xml:space="preserve">  ▶  Řízení (Steering) — Rack &amp; Pinion</t>
  </si>
  <si>
    <t>Typ řízení (class)</t>
  </si>
  <si>
    <t>Vehicle.Chassis.SuspA1.Steer.class.Value</t>
  </si>
  <si>
    <t>WheelDrivenRack1UJoint</t>
  </si>
  <si>
    <t>Typ řídícího systému. WheelDrivenRack1UJoint = hřebenové řízení s 1 kardanovým kloubem. Neměňte bez úpravy Simulink modelu.</t>
  </si>
  <si>
    <t>Bod uložení hřebene (Rack.sMount)</t>
  </si>
  <si>
    <t>Vehicle.Chassis.SuspA1.Steer.Rack.sMount.Value</t>
  </si>
  <si>
    <t>[0.0905, 0, 0.11927]</t>
  </si>
  <si>
    <t>Střed hřebenového řízení na rámu. Y=0 = na středu vozu. Souhlasí s vnitřním bodem track rod.</t>
  </si>
  <si>
    <t>Hmotnost hřebene (Rack.m)</t>
  </si>
  <si>
    <t>Vehicle.Chassis.SuspA1.Steer.Rack.m.Value</t>
  </si>
  <si>
    <t>Hmotnost hřebenového řízení. (Zdá se vysoká — typicky 1–3 kg pro FSAE)</t>
  </si>
  <si>
    <t>0.5..5.0</t>
  </si>
  <si>
    <t>Frekvenční limit aktuátoru řízení</t>
  </si>
  <si>
    <t>Vehicle.Chassis.SuspA1.Steer.Rack.fActuatorCutoff.Value</t>
  </si>
  <si>
    <t>Hz</t>
  </si>
  <si>
    <t>Mezní frekvence dynamického filtru pro aktuátor řízení. Ovlivňuje reálnost simulace řízení.</t>
  </si>
  <si>
    <t>20..100</t>
  </si>
  <si>
    <t>Bod volantu (Wheel.sMount)</t>
  </si>
  <si>
    <t>Vehicle.Chassis.SuspA1.Steer.Wheel.sMount.Value</t>
  </si>
  <si>
    <t>[-0.56, 0, 0.47]</t>
  </si>
  <si>
    <t>Poloha středu volantu. X záporné = za přední nápravou. Z výška volantu.</t>
  </si>
  <si>
    <t>Sklon řídící tyče (Wheel.aAxis)</t>
  </si>
  <si>
    <t>Vehicle.Chassis.SuspA1.Steer.Wheel.aAxis.Value</t>
  </si>
  <si>
    <t>rad</t>
  </si>
  <si>
    <t>Sklon řídícího hřídele od svislé osy [rad]. 0.18 rad ≈ 10.3°. Ergonomický sklon.</t>
  </si>
  <si>
    <t>0.0..0.5</t>
  </si>
  <si>
    <t>Hmotnost volantu (Wheel.m)</t>
  </si>
  <si>
    <t>Vehicle.Chassis.SuspA1.Steer.Wheel.m.Value</t>
  </si>
  <si>
    <t>Hmotnost volantu.</t>
  </si>
  <si>
    <t>Poloměr pastorku (Pinion.xRad)</t>
  </si>
  <si>
    <t>Vehicle.Chassis.SuspA1.Steer.Pinion.xRad.Value</t>
  </si>
  <si>
    <t>Poloměr pastorku hřebenového řízení. Určuje převodový poměr: xRack/otáčku volantu.</t>
  </si>
  <si>
    <t>0.008..0.025</t>
  </si>
  <si>
    <t>Bod pastorku (Pinion.sMount)</t>
  </si>
  <si>
    <t>Vehicle.Chassis.SuspA1.Steer.Pinion.sMount.Value</t>
  </si>
  <si>
    <t>[0.07787, 0, 0.10644]</t>
  </si>
  <si>
    <t>Poloha pastorku na rámu.</t>
  </si>
  <si>
    <t>Zadní zavěšení — Linkage (SuspA2 Pushrod)</t>
  </si>
  <si>
    <t>Geometrie dvojitého lichoběžníku s pushrod systémem — zadní náprava</t>
  </si>
  <si>
    <t xml:space="preserve">  ▶  Dolní trojúhelník zadní nápravy (Lower Wishbone)</t>
  </si>
  <si>
    <t>Vnitřní přední bod LW-R</t>
  </si>
  <si>
    <t>Vehicle.Chassis.SuspA2.Linkage.LowerWishbone.sInboardF.Value</t>
  </si>
  <si>
    <t>[0.23712, 0.2245, 0.12457]</t>
  </si>
  <si>
    <t>Přední vnitřní bod dolního trojúhelníku zadní nápravy. Souřadnice od středu zadní nápravy.</t>
  </si>
  <si>
    <t>Vnitřní zadní bod LW-R</t>
  </si>
  <si>
    <t>Vehicle.Chassis.SuspA2.Linkage.LowerWishbone.sInboardR.Value</t>
  </si>
  <si>
    <t>[-0.027, 0.09975, 0.10507]</t>
  </si>
  <si>
    <t>Zadní vnitřní bod dolního trojúhelníku zadní nápravy.</t>
  </si>
  <si>
    <t>Vnější bod LW-R (upright)</t>
  </si>
  <si>
    <t>Vehicle.Chassis.SuspA2.Linkage.LowerWishbone.sOutboard.Value</t>
  </si>
  <si>
    <t>[-0.0005, 0.5255, 0.13123]</t>
  </si>
  <si>
    <t>Vnější bod dolního trojúhelníku zadní nápravy — připojení k těhlici.</t>
  </si>
  <si>
    <t>Hmotnost LW-R</t>
  </si>
  <si>
    <t>Vehicle.Chassis.SuspA2.Linkage.LowerWishbone.m.Value</t>
  </si>
  <si>
    <t>Hmotnost dolního trojúhelníku zadní nápravy.</t>
  </si>
  <si>
    <t xml:space="preserve">  ▶  Horní trojúhelník zadní nápravy (Upper Wishbone)</t>
  </si>
  <si>
    <t>Vnitřní přední bod UW-R</t>
  </si>
  <si>
    <t>Vehicle.Chassis.SuspA2.Linkage.UpperWishbone.sInboardF.Value</t>
  </si>
  <si>
    <t>[0.23599, 0.2247, 0.25557]</t>
  </si>
  <si>
    <t>Přední vnitřní bod horního trojúhelníku zadní nápravy.</t>
  </si>
  <si>
    <t>Vnitřní zadní bod UW-R</t>
  </si>
  <si>
    <t>Vehicle.Chassis.SuspA2.Linkage.UpperWishbone.sInboardR.Value</t>
  </si>
  <si>
    <t>[0.03421, 0.182, 0.22907]</t>
  </si>
  <si>
    <t>Zadní vnitřní bod horního trojúhelníku zadní nápravy.</t>
  </si>
  <si>
    <t>Vnější bod UW-R (upright)</t>
  </si>
  <si>
    <t>Vehicle.Chassis.SuspA2.Linkage.UpperWishbone.sOutboard.Value</t>
  </si>
  <si>
    <t>[0.03549, 0.4915, 0.32773]</t>
  </si>
  <si>
    <t>Vnější bod horního trojúhelníku zadní nápravy — připojení k těhlici.</t>
  </si>
  <si>
    <t>Hmotnost UW-R</t>
  </si>
  <si>
    <t>Vehicle.Chassis.SuspA2.Linkage.UpperWishbone.m.Value</t>
  </si>
  <si>
    <t>Hmotnost horního trojúhelníku zadní nápravy.</t>
  </si>
  <si>
    <t xml:space="preserve">  ▶  Těhlice zadní (Upright)</t>
  </si>
  <si>
    <t>Střed kola zadní (sWheelCentre)</t>
  </si>
  <si>
    <t>Vehicle.Chassis.SuspA2.Linkage.Upright.sWheelCentre.Value</t>
  </si>
  <si>
    <t>[0, 0.575, 0.23323]</t>
  </si>
  <si>
    <t>Poloha středu kola zadní nápravy. Y = polovina rozchodu zadní nápravy. KLÍČOVÝ parametr!</t>
  </si>
  <si>
    <t>Y: 0.50..0.65</t>
  </si>
  <si>
    <t>Camber zadní (aCamber)</t>
  </si>
  <si>
    <t>Vehicle.Chassis.SuspA2.Linkage.Upright.aCamber.Value</t>
  </si>
  <si>
    <t>Statický camber zadní nápravy. Záporné = záporný camber. Pro FSAE typicky 0 až -2°.</t>
  </si>
  <si>
    <t>-3..1</t>
  </si>
  <si>
    <t>Toe zadní (aToe)</t>
  </si>
  <si>
    <t>Vehicle.Chassis.SuspA2.Linkage.Upright.aToe.Value</t>
  </si>
  <si>
    <t>Statická sbíhavost zadní nápravy. Záporné = rozbíhavost. FSAE typicky 0 až +1° (sbíhavost = stabilita).</t>
  </si>
  <si>
    <t>-1..3</t>
  </si>
  <si>
    <t>Hmotnost těhlice zadní</t>
  </si>
  <si>
    <t>Vehicle.Chassis.SuspA2.Linkage.Upright.m.Value</t>
  </si>
  <si>
    <t>Hmotnost zadní těhlice.</t>
  </si>
  <si>
    <t xml:space="preserve">  ▶  Toe link (Track Rod) zadní — nastavení toe</t>
  </si>
  <si>
    <t>Vnitřní bod toe link-R</t>
  </si>
  <si>
    <t>Vehicle.Chassis.SuspA2.Linkage.TrackRod.sInboard.Value</t>
  </si>
  <si>
    <t>[0.01782, 0.24518, 0.24814]</t>
  </si>
  <si>
    <t>Vnitřní bod zadního toe linku. Umístění na rámu/subframe. Klíčové pro toe-out/in v zatáčce.</t>
  </si>
  <si>
    <t>Vnější bod toe link-R</t>
  </si>
  <si>
    <t>Vehicle.Chassis.SuspA2.Linkage.TrackRod.sOutboard.Value</t>
  </si>
  <si>
    <t>[-0.052, 0.4986, 0.32373]</t>
  </si>
  <si>
    <t>Vnější bod zadního toe linku připojený k těhlici.</t>
  </si>
  <si>
    <t xml:space="preserve">  ▶  Pushrod systém zadní nápravy</t>
  </si>
  <si>
    <t>Bod pushrodu na LW-R (sLowerArm)</t>
  </si>
  <si>
    <t>Vehicle.Chassis.SuspA2.Linkage.Pushrod.sLowerArm.Value</t>
  </si>
  <si>
    <t>[0.0433, 0.4726, 0.14]</t>
  </si>
  <si>
    <t>Bod připojení pushrodu na dolním trojúhelníku zadní nápravy.</t>
  </si>
  <si>
    <t>Bod pushrodu na bellcrank-R</t>
  </si>
  <si>
    <t>Vehicle.Chassis.SuspA2.Linkage.Pushrod.sBellcrank.Value</t>
  </si>
  <si>
    <t>[0.002915, 0.19967, 0.4]</t>
  </si>
  <si>
    <t>Bod připojení pushrodu na bellcranku zadní nápravy.</t>
  </si>
  <si>
    <t>Hmotnost pushrodu-R</t>
  </si>
  <si>
    <t>Vehicle.Chassis.SuspA2.Linkage.Pushrod.m.Value</t>
  </si>
  <si>
    <t>Hmotnost tyče pushrodu zadní nápravy.</t>
  </si>
  <si>
    <t xml:space="preserve">  ▶  Bellcrank zadní nápravy</t>
  </si>
  <si>
    <t>Čep bellcranku-R (sPivot)</t>
  </si>
  <si>
    <t>Vehicle.Chassis.SuspA2.Linkage.Bellcrank.sPivot.Value</t>
  </si>
  <si>
    <t>[-0.0292, 0.192, 0.4]</t>
  </si>
  <si>
    <t>Otočný bod bellcrank páky zadní nápravy.</t>
  </si>
  <si>
    <t>Bod ARB na bellcranku-R</t>
  </si>
  <si>
    <t>Vehicle.Chassis.SuspA2.Linkage.Bellcrank.sAntiRollBar.Value</t>
  </si>
  <si>
    <t>[-0.0531, 0.2467, 0.35]</t>
  </si>
  <si>
    <t>Bod připojení stabilizátoru na bellcranku zadní nápravy. MUSÍ = AntiRollBar.sSuspension!</t>
  </si>
  <si>
    <t>Hmotnost bellcranku-R</t>
  </si>
  <si>
    <t>Vehicle.Chassis.SuspA2.Linkage.Bellcrank.m.Value</t>
  </si>
  <si>
    <t>Hmotnost bellcrank páky zadní nápravy.</t>
  </si>
  <si>
    <t xml:space="preserve">  ▶  Shock zadní nápravy (geometrie)</t>
  </si>
  <si>
    <t>Horní bod tlumiče-R (sTop)</t>
  </si>
  <si>
    <t>Vehicle.Chassis.SuspA2.Linkage.Shock.sTop.Value</t>
  </si>
  <si>
    <t>[0.22999, 0.227, 0.4]</t>
  </si>
  <si>
    <t>Horní uložení tlumiče zadní nápravy. Musí souhlasit s Spring/Damper listem!</t>
  </si>
  <si>
    <t>Dolní bod tlumiče-R (sBottom)</t>
  </si>
  <si>
    <t>Vehicle.Chassis.SuspA2.Linkage.Shock.sBottom.Value</t>
  </si>
  <si>
    <t>[0.05975, 0.26723, 0.4]</t>
  </si>
  <si>
    <t>Dolní uložení tlumiče zadní nápravy na bellcranku. Musí souhlasit s Spring/Damper listem!</t>
  </si>
  <si>
    <t>xMax endstop-R</t>
  </si>
  <si>
    <t>Vehicle.Chassis.SuspA2.Linkage.Endstop.xMax.Value</t>
  </si>
  <si>
    <t>Max. stlačení tlumiče zadní nápravy (bump doraz).</t>
  </si>
  <si>
    <t>0.01..0.06</t>
  </si>
  <si>
    <t>xMin endstop-R</t>
  </si>
  <si>
    <t>Vehicle.Chassis.SuspA2.Linkage.Endstop.xMin.Value</t>
  </si>
  <si>
    <t>Max. vysunutí tlumiče zadní nápravy (rebound doraz).</t>
  </si>
  <si>
    <t>-0.07..-0.01</t>
  </si>
  <si>
    <t xml:space="preserve">  ▶  Stabilizátor zadní nápravy (ARB-R)</t>
  </si>
  <si>
    <t>Tuhost ARB zadní (k)</t>
  </si>
  <si>
    <t>Vehicle.Chassis.SuspA2.AntiRollBar.k.Value</t>
  </si>
  <si>
    <t>Torzní tuhost zadního stabilizátoru. Zadní ARB bývá tužší pro lepší stabilitu. Vyšší = více podtáčivosti.</t>
  </si>
  <si>
    <t>10..150</t>
  </si>
  <si>
    <t>Tlumení ARB zadní (d)</t>
  </si>
  <si>
    <t>Vehicle.Chassis.SuspA2.AntiRollBar.d.Value</t>
  </si>
  <si>
    <t>Tlumení zadního stabilizátoru.</t>
  </si>
  <si>
    <t>0..30</t>
  </si>
  <si>
    <t>Pružiny a tlumiče (Spring &amp; Damper)</t>
  </si>
  <si>
    <t>Parametry pružin a tlumičů přední a zadní nápravy — měkové tuhosti a tlumení</t>
  </si>
  <si>
    <t xml:space="preserve">  ▶  Pružina přední nápravy (Spring Axle1)</t>
  </si>
  <si>
    <t>Typ pružiny přední (class)</t>
  </si>
  <si>
    <t>Vehicle.Chassis.Spring.Axle1.class.Value</t>
  </si>
  <si>
    <t>Linear</t>
  </si>
  <si>
    <t>Typ charakteristiky pružiny. Linear = lineární, Table = nelineární (z tabulky). Pro začátek použijte Linear.</t>
  </si>
  <si>
    <t>Linear / Table</t>
  </si>
  <si>
    <t>Tuhost pružiny přední (K)</t>
  </si>
  <si>
    <t>Vehicle.Chassis.Spring.Axle1.K.Value</t>
  </si>
  <si>
    <t>N/m</t>
  </si>
  <si>
    <t>Tuhost přední pružiny. Pro FSAE pushrod systém — hodnota na tlumiči. Motion ratio ~0.7–0.9. KLÍČOVÁ hodnota nastavení!</t>
  </si>
  <si>
    <t>20000..120000</t>
  </si>
  <si>
    <t>Předepnutí (xPreload)</t>
  </si>
  <si>
    <t>Vehicle.Chassis.Spring.Axle1.xPreload.Value</t>
  </si>
  <si>
    <t>Předepnutí pružiny v klidové poloze. Kompenzuje tíhu. Nastavte tak, aby vůz stál v správné výšce.</t>
  </si>
  <si>
    <t>0..0.05</t>
  </si>
  <si>
    <t xml:space="preserve">  ▶  Pružina zadní nápravy (Spring Axle2)</t>
  </si>
  <si>
    <t>Typ pružiny zadní (class)</t>
  </si>
  <si>
    <t>Vehicle.Chassis.Spring.Axle2.class.Value</t>
  </si>
  <si>
    <t>Typ charakteristiky zadní pružiny.</t>
  </si>
  <si>
    <t>Tuhost pružiny zadní (K)</t>
  </si>
  <si>
    <t>Vehicle.Chassis.Spring.Axle2.K.Value</t>
  </si>
  <si>
    <t>Tuhost zadní pružiny. Nižší než přední = poddajnější zadek. Typicky FSAE: zadní ≤ přední pro neutrální podvozek.</t>
  </si>
  <si>
    <t>15000..100000</t>
  </si>
  <si>
    <t>Předepnutí zadní (xPreload)</t>
  </si>
  <si>
    <t>Vehicle.Chassis.Spring.Axle2.xPreload.Value</t>
  </si>
  <si>
    <t>Předepnutí zadní pružiny. Upravte dle hmotnostního rozložení.</t>
  </si>
  <si>
    <t xml:space="preserve">  ▶  Tlumič přední nápravy (Damper Axle1)</t>
  </si>
  <si>
    <t>Typ tlumiče přední (class)</t>
  </si>
  <si>
    <t>Vehicle.Chassis.Damper.Axle1.class.Value</t>
  </si>
  <si>
    <t>Typ charakteristiky tlumiče. Linear = konstantní tlumení. Pro reálnější chování použijte Table.</t>
  </si>
  <si>
    <t>Tlumení přední (d)</t>
  </si>
  <si>
    <t>Vehicle.Chassis.Damper.Axle1.Damping.d.Value</t>
  </si>
  <si>
    <t>N/(m/s)</t>
  </si>
  <si>
    <t>Koeficient viskózního tlumení přední nápravy. FSAE pushrod: pro motion ratio ~0.8, reálné tlumení ~3000–4000 N/(m/s). KLÍČOVÁ hodnota!</t>
  </si>
  <si>
    <t>500..15000</t>
  </si>
  <si>
    <t>Tuhost dorazu bump (KxMax)</t>
  </si>
  <si>
    <t>Vehicle.Chassis.Damper.Axle1.Endstop.KxMax.Value</t>
  </si>
  <si>
    <t>Tuhost mechanického dorazu (bump stop). Vysoká hodnota = tvrdý doraz. Simuluje gumový bump stop.</t>
  </si>
  <si>
    <t>100000..5000000</t>
  </si>
  <si>
    <t>Tuhost dorazu rebound (KxMin)</t>
  </si>
  <si>
    <t>Vehicle.Chassis.Damper.Axle1.Endstop.KxMin.Value</t>
  </si>
  <si>
    <t>Tuhost mechanického dorazu na vysunutí.</t>
  </si>
  <si>
    <t>Max. zdvih bump přední (xMax)</t>
  </si>
  <si>
    <t>Vehicle.Chassis.Damper.Axle1.Endstop.xMax.Value</t>
  </si>
  <si>
    <t>Převzato ze zavěšení (xMax endstop). FORMULE odkazuje na SuspA1_Linkage_F list — musí souhlasit!</t>
  </si>
  <si>
    <t>viz SuspA1_Linkage_F</t>
  </si>
  <si>
    <t>Min. zdvih rebound přední (xMin)</t>
  </si>
  <si>
    <t>Vehicle.Chassis.Damper.Axle1.Endstop.xMin.Value</t>
  </si>
  <si>
    <t>Převzato ze zavěšení (xMin endstop). FORMULE odkazuje na SuspA1_Linkage_F list — musí souhlasit!</t>
  </si>
  <si>
    <t xml:space="preserve">  ▶  Tlumič zadní nápravy (Damper Axle2)</t>
  </si>
  <si>
    <t>Typ tlumiče zadní (class)</t>
  </si>
  <si>
    <t>Vehicle.Chassis.Damper.Axle2.class.Value</t>
  </si>
  <si>
    <t>Typ charakteristiky zadního tlumiče.</t>
  </si>
  <si>
    <t>Tlumení zadní (d)</t>
  </si>
  <si>
    <t>Vehicle.Chassis.Damper.Axle2.Damping.d.Value</t>
  </si>
  <si>
    <t>Koeficient viskózního tlumení zadní nápravy. Analogicky jako přední, ale může se lišit pro jiné ladění.</t>
  </si>
  <si>
    <t>Max. zdvih bump zadní (xMax)</t>
  </si>
  <si>
    <t>Vehicle.Chassis.Damper.Axle2.Endstop.xMax.Value</t>
  </si>
  <si>
    <t>Převzato ze zadního zavěšení. FORMULE odkazuje na SuspA2_Linkage_R list.</t>
  </si>
  <si>
    <t>viz SuspA2_Linkage_R</t>
  </si>
  <si>
    <t>Min. zdvih rebound zadní (xMin)</t>
  </si>
  <si>
    <t>Vehicle.Chassis.Damper.Axle2.Endstop.xMin.Value</t>
  </si>
  <si>
    <t>Pneumatiky (Tires)</t>
  </si>
  <si>
    <t>Parametry pneumatik přední a zadní nápravy — model MFMbody (Simscape Multibody)</t>
  </si>
  <si>
    <t xml:space="preserve">  ▶  Pneumatika přední nápravy (TireA1)</t>
  </si>
  <si>
    <t>Typ pneumatiky (class)</t>
  </si>
  <si>
    <t>Vehicle.Chassis.TireA1.class.Value</t>
  </si>
  <si>
    <t>MFMbody</t>
  </si>
  <si>
    <t>Typ modelu pneumatiky. MFMbody = Magic Formula (Simscape Multibody). Vyžaduje .tir soubor.</t>
  </si>
  <si>
    <t>MFMbody / MFEval / Delft</t>
  </si>
  <si>
    <t>Soubor .tir přední</t>
  </si>
  <si>
    <t>Vehicle.Chassis.TireA1.tirFile.Value</t>
  </si>
  <si>
    <t>which('fsae190_50R10.tir')</t>
  </si>
  <si>
    <t>Cesta k souboru s Magic Formula parametry pneumatiky. fsae190_50R10 = 190/50R10 FSAE pneu. Nahraďte souborem vašich reálných pneu.</t>
  </si>
  <si>
    <t>which('nazev.tir')</t>
  </si>
  <si>
    <t>Hmotnost pneumatiky (Mass)</t>
  </si>
  <si>
    <t>Vehicle.Chassis.TireA1.Mass.Value</t>
  </si>
  <si>
    <t>Hmotnost pneumatiky + ráfku. Pro FSAE typicky 5–8 kg (bez ráfku ~3–5 kg).</t>
  </si>
  <si>
    <t>3..15</t>
  </si>
  <si>
    <t>Moment setrvačnosti [Ixx, Iyy]</t>
  </si>
  <si>
    <t>Vehicle.Chassis.TireA1.Inertia.Value</t>
  </si>
  <si>
    <t>[1, 2]</t>
  </si>
  <si>
    <t>Momenty setrvačnosti kola. [1]=kolem osy X (klopení kola), [2]=kolem osy Y (odvalovací osa). Ovlivňuje gyroskopické efekty.</t>
  </si>
  <si>
    <t>Soubor vozovky (roadFile)</t>
  </si>
  <si>
    <t>Vehicle.Chassis.TireA1.roadFile.Value</t>
  </si>
  <si>
    <t>which('TNO_FlatRoad.rdf')</t>
  </si>
  <si>
    <t>Definice povrchu vozovky. TNO_FlatRoad.rdf = rovná plocha (pro skidpad, slalom). Pro Hockenheim: CRG_Hockenheim.crg. MATLAB skript přepíše dle manévru.</t>
  </si>
  <si>
    <t>Filtr kontaktního bodu (fContactPoint)</t>
  </si>
  <si>
    <t>Vehicle.Chassis.TireA1.fContactPoint.Value</t>
  </si>
  <si>
    <t>s</t>
  </si>
  <si>
    <t>Časová konstanta filtru pro výpočet kontaktního bodu. Pomáhá stabilitě numerické integrace. Obvykle 0.01–0.05 s.</t>
  </si>
  <si>
    <t>0.001..0.1</t>
  </si>
  <si>
    <t xml:space="preserve">  ▶  Pneumatika zadní nápravy (TireA2)</t>
  </si>
  <si>
    <t>Typ pneumatiky zadní (class)</t>
  </si>
  <si>
    <t>Vehicle.Chassis.TireA2.class.Value</t>
  </si>
  <si>
    <t>Typ modelu pneumatiky zadní nápravy. Typicky stejný jako přední.</t>
  </si>
  <si>
    <t>Soubor .tir zadní</t>
  </si>
  <si>
    <t>Vehicle.Chassis.TireA2.tirFile.Value</t>
  </si>
  <si>
    <t>Soubor Magic Formula pro zadní pneumatiku. Pro FSAE vozy přední i zadní bývají stejné.</t>
  </si>
  <si>
    <t>Hmotnost pneumatiky zadní (Mass)</t>
  </si>
  <si>
    <t>Vehicle.Chassis.TireA2.Mass.Value</t>
  </si>
  <si>
    <t>Hmotnost zadní pneumatiky + ráfku.</t>
  </si>
  <si>
    <t>Pohonná soustava (Powertrain)</t>
  </si>
  <si>
    <t>Elektromotory L1/R1 (přední) a L2/R2 (zadní), baterie, konvertor</t>
  </si>
  <si>
    <t xml:space="preserve">  ▶  Konfigurace pohonu</t>
  </si>
  <si>
    <t>Typ pohonu (class)</t>
  </si>
  <si>
    <t>Vehicle.Powertrain.Power.class.Value</t>
  </si>
  <si>
    <t>Electric_L1_R1_L2_R2</t>
  </si>
  <si>
    <t>4 nezávislé elektromotory (4WD torque vectoring). L1=přední levý, R1=přední pravý, L2=zadní levý, R2=zadní pravý.</t>
  </si>
  <si>
    <t>Teplota prostředí (TAmbient)</t>
  </si>
  <si>
    <t>Vehicle.Powertrain.Power.TAmbient.Value</t>
  </si>
  <si>
    <t>K</t>
  </si>
  <si>
    <t>Teplota okolního vzduchu v Kelvinech. 293 K = 20°C. Ovlivňuje chlazení motorů a baterie.</t>
  </si>
  <si>
    <t>263..313</t>
  </si>
  <si>
    <t xml:space="preserve">  ▶  Přední motory (L1 = levý přední, R1 = pravý přední) — stejná konfigurace</t>
  </si>
  <si>
    <t>Max. točivý moment přední (trq[0])</t>
  </si>
  <si>
    <t>Vehicle.Powertrain.Power.MotorL1.TorqueSpd.trq.Value[1]</t>
  </si>
  <si>
    <t>N*m</t>
  </si>
  <si>
    <t>Maximální točivý moment předního motoru při nízkých otáčkách. FSAE pravidla – zkontrolujte limit výkonu.</t>
  </si>
  <si>
    <t>50..500</t>
  </si>
  <si>
    <t>Rozsah otáček motoru (w)</t>
  </si>
  <si>
    <t>Vehicle.Powertrain.Power.MotorL1.TorqueSpd.w.Value</t>
  </si>
  <si>
    <t>rpm</t>
  </si>
  <si>
    <t>Vektor otáček pro charakteristiku M-n. Ponechte defaultní rozsah, upravujte jen max. otáčky dle specifikace motoru.</t>
  </si>
  <si>
    <t>Moment setrvačnosti motoru (J)</t>
  </si>
  <si>
    <t>Vehicle.Powertrain.Power.MotorL1.J.Value</t>
  </si>
  <si>
    <t>Moment setrvačnosti rotoru motoru. 0 = zjednodušená inicializace (doporučeno). Nenulová hodnota pro přesnou dynamiku.</t>
  </si>
  <si>
    <t>0..0.1</t>
  </si>
  <si>
    <t>Frekvenční limit aktuátoru motoru</t>
  </si>
  <si>
    <t>Vehicle.Powertrain.Power.MotorL1.fActuatorCutoff.Value</t>
  </si>
  <si>
    <t>Šířka pásma řídicího signálu motoru. 50 Hz = realistický výkonový invertor.</t>
  </si>
  <si>
    <t>10..200</t>
  </si>
  <si>
    <t xml:space="preserve">  ▶  Zadní motory (L2 = levý zadní, R2 = pravý zadní)</t>
  </si>
  <si>
    <t>Max. točivý moment zadní (trq[0])</t>
  </si>
  <si>
    <t>Vehicle.Powertrain.Power.MotorL2.TorqueSpd.trq.Value[1]</t>
  </si>
  <si>
    <t>Maximální točivý moment zadního motoru. Může být jiný než přední pro jiné rozložení výkonu.</t>
  </si>
  <si>
    <t>50..400</t>
  </si>
  <si>
    <t xml:space="preserve">  ▶  Napájení / Baterie (Battery)</t>
  </si>
  <si>
    <t>Počáteční stav nabití (SOCInit)</t>
  </si>
  <si>
    <t>Vehicle.Powertrain.Power.Battery.SOCInit.Value</t>
  </si>
  <si>
    <t>0-1</t>
  </si>
  <si>
    <t>Počáteční nabití baterie. 0.8 = 80%. Pro soutěž začínáme se 100% (1.0).</t>
  </si>
  <si>
    <t>0.5..1.0</t>
  </si>
  <si>
    <t>Referenční napětí (vRef)</t>
  </si>
  <si>
    <t>Vehicle.Powertrain.Power.Converter.vRef.Value</t>
  </si>
  <si>
    <t>V</t>
  </si>
  <si>
    <t>Napětí DC bus. FSAE TS pravidla – max. 600 V. Zkontrolujte shodu s EV pravidly vaší třídy!</t>
  </si>
  <si>
    <t>100..600</t>
  </si>
  <si>
    <t>Max. výkon konvertoru (Power)</t>
  </si>
  <si>
    <t>Vehicle.Powertrain.Power.Converter.Power.Value</t>
  </si>
  <si>
    <t>W</t>
  </si>
  <si>
    <t>Maximální výkon DC-DC konvertoru / nabíjecí výkon. FSAE: zkontrolujte pravidla výkonu.</t>
  </si>
  <si>
    <t>10000..120000</t>
  </si>
  <si>
    <t>Účinnost konvertoru (efficiency)</t>
  </si>
  <si>
    <t>Vehicle.Powertrain.Power.Converter.efficiency.Value</t>
  </si>
  <si>
    <t>%</t>
  </si>
  <si>
    <t>Účinnost výkonového konvertoru. 98% = typická hodnota pro moderní SiC invertory.</t>
  </si>
  <si>
    <t>85..99</t>
  </si>
  <si>
    <t xml:space="preserve">  ▶  Převodovka (Driveline)</t>
  </si>
  <si>
    <t>Převodový poměr přední L1 (GearboxL1)</t>
  </si>
  <si>
    <t>Vehicle.Powertrain.Driveline.GearboxL1.ratio.Value</t>
  </si>
  <si>
    <t>Finální převodový poměr (motor → kolo) přední levé. n_motor = n_kolo × ratio. Vyšší = více točivého momentu, nižší rychlost.</t>
  </si>
  <si>
    <t>1.5..6.0</t>
  </si>
  <si>
    <t>Převodový poměr přední R1 (GearboxR1)</t>
  </si>
  <si>
    <t>Vehicle.Powertrain.Driveline.GearboxR1.ratio.Value</t>
  </si>
  <si>
    <t>Finální převodový poměr přední pravé. Musí = GearboxL1.ratio pro symetrii!</t>
  </si>
  <si>
    <t>Převodový poměr zadní L2 (GearboxL2)</t>
  </si>
  <si>
    <t>Vehicle.Powertrain.Driveline.GearboxL2.ratio.Value</t>
  </si>
  <si>
    <t>Finální převodový poměr zadní levé. Může se lišit od přední pro jiný výkonový charakter.</t>
  </si>
  <si>
    <t>Převodový poměr zadní R2 (GearboxR2)</t>
  </si>
  <si>
    <t>Vehicle.Powertrain.Driveline.GearboxR2.ratio.Value</t>
  </si>
  <si>
    <t>Finální převodový poměr zadní pravé. Musí = GearboxL2.ratio pro symetrii!</t>
  </si>
  <si>
    <t>Brzdový systém (Brakes)</t>
  </si>
  <si>
    <t>Kotoučové brzdy přední a zadní nápravy — geometrie a třecí vlastnosti</t>
  </si>
  <si>
    <t xml:space="preserve">  ▶  Přední brzda (Axle1)</t>
  </si>
  <si>
    <t>Střední poloměr disku přední (lMeanRadius)</t>
  </si>
  <si>
    <t>Vehicle.Brakes.Axle1.DiscAndPad.lMeanRadius.Value</t>
  </si>
  <si>
    <t>Efektivní poloměr kotouče brzdy = střed třecí plochy destičky. Klíčový pro brzdný moment. FSAE typicky 0.10–0.18 m.</t>
  </si>
  <si>
    <t>0.08..0.20</t>
  </si>
  <si>
    <t>Stat. koeficient tření brzdy (rMuStatic)</t>
  </si>
  <si>
    <t>Vehicle.Brakes.Axle1.DiscAndPad.rMuStatic.Value</t>
  </si>
  <si>
    <t>Statický koeficient tření destičky na kotouči. Vyšší = lepší brzdy. Závisí na materiálu destiček (Carbon: 0.45–0.55, Semi-metallic: 0.35–0.45).</t>
  </si>
  <si>
    <t>0.3..0.6</t>
  </si>
  <si>
    <t>Kin. koeficient tření brzdy (rMuKinetic)</t>
  </si>
  <si>
    <t>Vehicle.Brakes.Axle1.DiscAndPad.rMuKinetic.Value</t>
  </si>
  <si>
    <t>Kinetický (klouzavý) koeficient tření. Vždy nižší než statický.</t>
  </si>
  <si>
    <t>0.2..0.5</t>
  </si>
  <si>
    <t>Počet destiček přední (NPads)</t>
  </si>
  <si>
    <t>Vehicle.Brakes.Axle1.DiscAndPad.NPads.Value</t>
  </si>
  <si>
    <t>Počet třecích ploch (= 2 × počet destiček pro třmen). Standardní třmen = 2 destičky = 4 třecí plochy.</t>
  </si>
  <si>
    <t>2 / 4 / 6</t>
  </si>
  <si>
    <t>Průměr pístu třmenu přední</t>
  </si>
  <si>
    <t>Vehicle.Brakes.Axle1.Caliper.lCylinderDiameter.Value</t>
  </si>
  <si>
    <t>Průměr hydraulického pístu brzdového třmenu. Větší = více brzdné síly pro stejný tlak.</t>
  </si>
  <si>
    <t>0.010..0.040</t>
  </si>
  <si>
    <t>Max. tlak přední (pMax)</t>
  </si>
  <si>
    <t>Vehicle.Brakes.Axle1.Caliper.pMax.Value</t>
  </si>
  <si>
    <t>bar</t>
  </si>
  <si>
    <t>Maximální hydraulický tlak v brzdovém okruhu přední. FSAE typicky 60–100 bar.</t>
  </si>
  <si>
    <t>40..120</t>
  </si>
  <si>
    <t xml:space="preserve">  ▶  Zadní brzda (Axle2)</t>
  </si>
  <si>
    <t>Střední poloměr disku zadní</t>
  </si>
  <si>
    <t>Vehicle.Brakes.Axle2.DiscAndPad.lMeanRadius.Value</t>
  </si>
  <si>
    <t>Efektivní poloměr zadního kotouče. Zadní brzdy bývají menší. FSAE typicky 0.08–0.14 m.</t>
  </si>
  <si>
    <t>0.06..0.16</t>
  </si>
  <si>
    <t>Stat. koeficient tření zadní</t>
  </si>
  <si>
    <t>Vehicle.Brakes.Axle2.DiscAndPad.rMuStatic.Value</t>
  </si>
  <si>
    <t>Statický koeficient tření zadní brzdy. Stejný materiál = stejná hodnota.</t>
  </si>
  <si>
    <t>Kin. koeficient tření zadní</t>
  </si>
  <si>
    <t>Vehicle.Brakes.Axle2.DiscAndPad.rMuKinetic.Value</t>
  </si>
  <si>
    <t>Kinetický koeficient tření zadní brzdy.</t>
  </si>
  <si>
    <t>Počet destiček zadní (NPads)</t>
  </si>
  <si>
    <t>Vehicle.Brakes.Axle2.DiscAndPad.NPads.Value</t>
  </si>
  <si>
    <t>Počet třecích ploch zadní brzdy. Závisí na typu třmenu.</t>
  </si>
  <si>
    <t>2 / 4</t>
  </si>
  <si>
    <t>Průměr pístu třmenu zadní</t>
  </si>
  <si>
    <t>Vehicle.Brakes.Axle2.Caliper.lCylinderDiameter.Value</t>
  </si>
  <si>
    <t>Průměr hydraulického pístu zadního třmenu.</t>
  </si>
  <si>
    <t>Max. tlak zadní (pMax)</t>
  </si>
  <si>
    <t>Vehicle.Brakes.Axle2.Caliper.pMax.Value</t>
  </si>
  <si>
    <t>Maximální tlak zadní brzdy. Nižší než přední = správné rozložení brzdné síly (přední víc brzdí).</t>
  </si>
  <si>
    <t>30..90</t>
  </si>
  <si>
    <t>[0 1666.6667 3333.3333 4774.6371 5000 6666.6667 8333.3333 10000 11666.6667 13333.3333 15000 16666.6667 18333.3333 20000]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</si>
</sst>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  <font>
      <i/>
      <sz val="10"/>
      <color rgb="FF444444"/>
      <name val="Arial"/>
    </font>
    <font>
      <b/>
      <sz val="11"/>
      <color rgb="FFFFFFFF"/>
      <name val="Arial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0" fillId="0" borderId="0" xfId="0"/>
    <xf numFmtId="0" fontId="7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workbookViewId="0">
      <selection sqref="A1:F3"/>
    </sheetView>
  </sheetViews>
  <sheetFormatPr defaultRowHeight="14.4" x14ac:dyDescent="0.3"/>
  <cols>
    <col min="1" max="1" width="22" customWidth="1"/>
    <col min="2" max="2" width="90" customWidth="1"/>
    <col min="3" max="6" width="10" customWidth="1"/>
  </cols>
  <sheetData>
    <row r="1" spans="1:6" ht="60" customHeight="1" x14ac:dyDescent="0.3">
      <c r="A1" s="11" t="s">
        <v>0</v>
      </c>
      <c r="B1" s="7"/>
      <c r="C1" s="7"/>
      <c r="D1" s="7"/>
      <c r="E1" s="7"/>
      <c r="F1" s="7"/>
    </row>
    <row r="2" spans="1:6" ht="60" customHeight="1" x14ac:dyDescent="0.3">
      <c r="A2" s="7"/>
      <c r="B2" s="7"/>
      <c r="C2" s="7"/>
      <c r="D2" s="7"/>
      <c r="E2" s="7"/>
      <c r="F2" s="7"/>
    </row>
    <row r="3" spans="1:6" ht="60" customHeight="1" x14ac:dyDescent="0.3">
      <c r="A3" s="7"/>
      <c r="B3" s="7"/>
      <c r="C3" s="7"/>
      <c r="D3" s="7"/>
      <c r="E3" s="7"/>
      <c r="F3" s="7"/>
    </row>
    <row r="5" spans="1:6" ht="49.95" customHeight="1" x14ac:dyDescent="0.3">
      <c r="A5" s="1" t="s">
        <v>1</v>
      </c>
      <c r="B5" s="10" t="s">
        <v>2</v>
      </c>
      <c r="C5" s="7"/>
      <c r="D5" s="7"/>
      <c r="E5" s="7"/>
      <c r="F5" s="7"/>
    </row>
    <row r="6" spans="1:6" ht="49.95" customHeight="1" x14ac:dyDescent="0.3">
      <c r="A6" s="1" t="s">
        <v>3</v>
      </c>
      <c r="B6" s="10" t="s">
        <v>4</v>
      </c>
      <c r="C6" s="7"/>
      <c r="D6" s="7"/>
      <c r="E6" s="7"/>
      <c r="F6" s="7"/>
    </row>
    <row r="7" spans="1:6" ht="49.95" customHeight="1" x14ac:dyDescent="0.3">
      <c r="A7" s="1" t="s">
        <v>5</v>
      </c>
      <c r="B7" s="10" t="s">
        <v>6</v>
      </c>
      <c r="C7" s="7"/>
      <c r="D7" s="7"/>
      <c r="E7" s="7"/>
      <c r="F7" s="7"/>
    </row>
    <row r="8" spans="1:6" ht="49.95" customHeight="1" x14ac:dyDescent="0.3">
      <c r="A8" s="1" t="s">
        <v>7</v>
      </c>
      <c r="B8" s="10" t="s">
        <v>8</v>
      </c>
      <c r="C8" s="7"/>
      <c r="D8" s="7"/>
      <c r="E8" s="7"/>
      <c r="F8" s="7"/>
    </row>
    <row r="9" spans="1:6" ht="49.95" customHeight="1" x14ac:dyDescent="0.3">
      <c r="A9" s="1" t="s">
        <v>9</v>
      </c>
      <c r="B9" s="10" t="s">
        <v>10</v>
      </c>
      <c r="C9" s="7"/>
      <c r="D9" s="7"/>
      <c r="E9" s="7"/>
      <c r="F9" s="7"/>
    </row>
    <row r="10" spans="1:6" ht="49.95" customHeight="1" x14ac:dyDescent="0.3">
      <c r="A10" s="1" t="s">
        <v>11</v>
      </c>
      <c r="B10" s="10" t="s">
        <v>12</v>
      </c>
      <c r="C10" s="7"/>
      <c r="D10" s="7"/>
      <c r="E10" s="7"/>
      <c r="F10" s="7"/>
    </row>
  </sheetData>
  <mergeCells count="7">
    <mergeCell ref="B7:F7"/>
    <mergeCell ref="B6:F6"/>
    <mergeCell ref="B10:F10"/>
    <mergeCell ref="B5:F5"/>
    <mergeCell ref="A1:F3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32" customWidth="1"/>
    <col min="2" max="2" width="4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9" t="s">
        <v>13</v>
      </c>
      <c r="B1" s="7"/>
      <c r="C1" s="7"/>
      <c r="D1" s="7"/>
      <c r="E1" s="7"/>
      <c r="F1" s="7"/>
    </row>
    <row r="2" spans="1:6" ht="22.05" customHeight="1" x14ac:dyDescent="0.3">
      <c r="A2" s="6" t="s">
        <v>14</v>
      </c>
      <c r="B2" s="7"/>
      <c r="C2" s="7"/>
      <c r="D2" s="7"/>
      <c r="E2" s="7"/>
      <c r="F2" s="7"/>
    </row>
    <row r="3" spans="1:6" ht="22.05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</row>
    <row r="4" spans="1:6" ht="18" customHeight="1" x14ac:dyDescent="0.3">
      <c r="A4" s="8" t="s">
        <v>21</v>
      </c>
      <c r="B4" s="7"/>
      <c r="C4" s="7"/>
      <c r="D4" s="7"/>
      <c r="E4" s="7"/>
      <c r="F4" s="7"/>
    </row>
    <row r="5" spans="1:6" ht="30" customHeight="1" x14ac:dyDescent="0.3">
      <c r="A5" s="3" t="s">
        <v>22</v>
      </c>
      <c r="B5" s="3" t="s">
        <v>23</v>
      </c>
      <c r="C5" s="4" t="s">
        <v>24</v>
      </c>
      <c r="D5" s="3" t="s">
        <v>25</v>
      </c>
      <c r="E5" s="3" t="s">
        <v>26</v>
      </c>
      <c r="F5" s="3" t="s">
        <v>27</v>
      </c>
    </row>
    <row r="6" spans="1:6" ht="30" customHeight="1" x14ac:dyDescent="0.3">
      <c r="A6" s="5" t="s">
        <v>28</v>
      </c>
      <c r="B6" s="5" t="s">
        <v>29</v>
      </c>
      <c r="C6" s="4" t="s">
        <v>30</v>
      </c>
      <c r="D6" s="5" t="s">
        <v>25</v>
      </c>
      <c r="E6" s="5" t="s">
        <v>31</v>
      </c>
      <c r="F6" s="5" t="s">
        <v>32</v>
      </c>
    </row>
    <row r="7" spans="1:6" ht="30" customHeight="1" x14ac:dyDescent="0.3">
      <c r="A7" s="3" t="s">
        <v>33</v>
      </c>
      <c r="B7" s="3" t="s">
        <v>34</v>
      </c>
      <c r="C7" s="4" t="s">
        <v>35</v>
      </c>
      <c r="D7" s="3" t="s">
        <v>25</v>
      </c>
      <c r="E7" s="3" t="s">
        <v>36</v>
      </c>
      <c r="F7" s="3" t="s">
        <v>37</v>
      </c>
    </row>
    <row r="8" spans="1:6" ht="30" customHeight="1" x14ac:dyDescent="0.3">
      <c r="A8" s="5" t="s">
        <v>38</v>
      </c>
      <c r="B8" s="5" t="s">
        <v>39</v>
      </c>
      <c r="C8" s="4" t="s">
        <v>40</v>
      </c>
      <c r="D8" s="5" t="s">
        <v>25</v>
      </c>
      <c r="E8" s="5" t="s">
        <v>41</v>
      </c>
      <c r="F8" s="5" t="s">
        <v>27</v>
      </c>
    </row>
    <row r="9" spans="1:6" ht="30" customHeight="1" x14ac:dyDescent="0.3">
      <c r="A9" s="3" t="s">
        <v>42</v>
      </c>
      <c r="B9" s="3" t="s">
        <v>43</v>
      </c>
      <c r="C9" s="4">
        <v>1.4379999999999999</v>
      </c>
      <c r="D9" s="3" t="s">
        <v>25</v>
      </c>
      <c r="E9" s="3" t="s">
        <v>44</v>
      </c>
      <c r="F9" s="3" t="s">
        <v>45</v>
      </c>
    </row>
    <row r="10" spans="1:6" ht="18" customHeight="1" x14ac:dyDescent="0.3">
      <c r="A10" s="8" t="s">
        <v>46</v>
      </c>
      <c r="B10" s="7"/>
      <c r="C10" s="7"/>
      <c r="D10" s="7"/>
      <c r="E10" s="7"/>
      <c r="F10" s="7"/>
    </row>
    <row r="11" spans="1:6" ht="30" customHeight="1" x14ac:dyDescent="0.3">
      <c r="A11" s="3" t="s">
        <v>47</v>
      </c>
      <c r="B11" s="3" t="s">
        <v>48</v>
      </c>
      <c r="C11" s="4">
        <v>165</v>
      </c>
      <c r="D11" s="3" t="s">
        <v>49</v>
      </c>
      <c r="E11" s="3" t="s">
        <v>50</v>
      </c>
      <c r="F11" s="3" t="s">
        <v>51</v>
      </c>
    </row>
    <row r="12" spans="1:6" ht="30" customHeight="1" x14ac:dyDescent="0.3">
      <c r="A12" s="5" t="s">
        <v>52</v>
      </c>
      <c r="B12" s="5" t="s">
        <v>53</v>
      </c>
      <c r="C12" s="4">
        <v>43</v>
      </c>
      <c r="D12" s="5" t="s">
        <v>54</v>
      </c>
      <c r="E12" s="5" t="s">
        <v>55</v>
      </c>
      <c r="F12" s="5" t="s">
        <v>56</v>
      </c>
    </row>
    <row r="13" spans="1:6" ht="30" customHeight="1" x14ac:dyDescent="0.3">
      <c r="A13" s="3" t="s">
        <v>57</v>
      </c>
      <c r="B13" s="3" t="s">
        <v>58</v>
      </c>
      <c r="C13" s="4">
        <v>192</v>
      </c>
      <c r="D13" s="3" t="s">
        <v>54</v>
      </c>
      <c r="E13" s="3" t="s">
        <v>59</v>
      </c>
      <c r="F13" s="3" t="s">
        <v>60</v>
      </c>
    </row>
    <row r="14" spans="1:6" ht="30" customHeight="1" x14ac:dyDescent="0.3">
      <c r="A14" s="5" t="s">
        <v>61</v>
      </c>
      <c r="B14" s="5" t="s">
        <v>62</v>
      </c>
      <c r="C14" s="4">
        <v>206</v>
      </c>
      <c r="D14" s="5" t="s">
        <v>54</v>
      </c>
      <c r="E14" s="5" t="s">
        <v>63</v>
      </c>
      <c r="F14" s="5" t="s">
        <v>60</v>
      </c>
    </row>
    <row r="15" spans="1:6" ht="18" customHeight="1" x14ac:dyDescent="0.3">
      <c r="A15" s="8" t="s">
        <v>64</v>
      </c>
      <c r="B15" s="7"/>
      <c r="C15" s="7"/>
      <c r="D15" s="7"/>
      <c r="E15" s="7"/>
      <c r="F15" s="7"/>
    </row>
    <row r="16" spans="1:6" ht="30" customHeight="1" x14ac:dyDescent="0.3">
      <c r="A16" s="5" t="s">
        <v>65</v>
      </c>
      <c r="B16" s="5" t="s">
        <v>66</v>
      </c>
      <c r="C16" s="4" t="s">
        <v>67</v>
      </c>
      <c r="D16" s="5" t="s">
        <v>25</v>
      </c>
      <c r="E16" s="5" t="s">
        <v>68</v>
      </c>
      <c r="F16" s="5" t="s">
        <v>69</v>
      </c>
    </row>
    <row r="17" spans="1:6" ht="30" customHeight="1" x14ac:dyDescent="0.3">
      <c r="A17" s="3" t="s">
        <v>70</v>
      </c>
      <c r="B17" s="3" t="s">
        <v>71</v>
      </c>
      <c r="C17" s="4" t="s">
        <v>72</v>
      </c>
      <c r="D17" s="3" t="s">
        <v>25</v>
      </c>
      <c r="E17" s="3" t="s">
        <v>73</v>
      </c>
      <c r="F17" s="3" t="s">
        <v>69</v>
      </c>
    </row>
  </sheetData>
  <mergeCells count="5">
    <mergeCell ref="A2:F2"/>
    <mergeCell ref="A10:F10"/>
    <mergeCell ref="A1:F1"/>
    <mergeCell ref="A4:F4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32" customWidth="1"/>
    <col min="2" max="2" width="4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9" t="s">
        <v>74</v>
      </c>
      <c r="B1" s="7"/>
      <c r="C1" s="7"/>
      <c r="D1" s="7"/>
      <c r="E1" s="7"/>
      <c r="F1" s="7"/>
    </row>
    <row r="2" spans="1:6" ht="22.05" customHeight="1" x14ac:dyDescent="0.3">
      <c r="A2" s="6" t="s">
        <v>75</v>
      </c>
      <c r="B2" s="7"/>
      <c r="C2" s="7"/>
      <c r="D2" s="7"/>
      <c r="E2" s="7"/>
      <c r="F2" s="7"/>
    </row>
    <row r="3" spans="1:6" ht="22.05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</row>
    <row r="4" spans="1:6" ht="18" customHeight="1" x14ac:dyDescent="0.3">
      <c r="A4" s="8" t="s">
        <v>76</v>
      </c>
      <c r="B4" s="7"/>
      <c r="C4" s="7"/>
      <c r="D4" s="7"/>
      <c r="E4" s="7"/>
      <c r="F4" s="7"/>
    </row>
    <row r="5" spans="1:6" ht="30" customHeight="1" x14ac:dyDescent="0.3">
      <c r="A5" s="3" t="s">
        <v>77</v>
      </c>
      <c r="B5" s="3" t="s">
        <v>78</v>
      </c>
      <c r="C5" s="4">
        <v>-2.5</v>
      </c>
      <c r="D5" s="3" t="s">
        <v>69</v>
      </c>
      <c r="E5" s="3" t="s">
        <v>79</v>
      </c>
      <c r="F5" s="3" t="s">
        <v>80</v>
      </c>
    </row>
    <row r="6" spans="1:6" ht="30" customHeight="1" x14ac:dyDescent="0.3">
      <c r="A6" s="5" t="s">
        <v>81</v>
      </c>
      <c r="B6" s="5" t="s">
        <v>82</v>
      </c>
      <c r="C6" s="4">
        <v>1</v>
      </c>
      <c r="D6" s="5" t="s">
        <v>69</v>
      </c>
      <c r="E6" s="5" t="s">
        <v>83</v>
      </c>
      <c r="F6" s="5" t="s">
        <v>84</v>
      </c>
    </row>
    <row r="7" spans="1:6" ht="30" customHeight="1" x14ac:dyDescent="0.3">
      <c r="A7" s="3" t="s">
        <v>85</v>
      </c>
      <c r="B7" s="3" t="s">
        <v>86</v>
      </c>
      <c r="C7" s="4">
        <v>1.2250000000000001</v>
      </c>
      <c r="D7" s="3" t="s">
        <v>87</v>
      </c>
      <c r="E7" s="3" t="s">
        <v>88</v>
      </c>
      <c r="F7" s="3" t="s">
        <v>89</v>
      </c>
    </row>
    <row r="8" spans="1:6" ht="30" customHeight="1" x14ac:dyDescent="0.3">
      <c r="A8" s="5" t="s">
        <v>90</v>
      </c>
      <c r="B8" s="5" t="s">
        <v>91</v>
      </c>
      <c r="C8" s="4">
        <v>1.2</v>
      </c>
      <c r="D8" s="5" t="s">
        <v>92</v>
      </c>
      <c r="E8" s="5" t="s">
        <v>93</v>
      </c>
      <c r="F8" s="5" t="s">
        <v>94</v>
      </c>
    </row>
    <row r="9" spans="1:6" ht="30" customHeight="1" x14ac:dyDescent="0.3">
      <c r="A9" s="3" t="s">
        <v>95</v>
      </c>
      <c r="B9" s="3" t="s">
        <v>96</v>
      </c>
      <c r="C9" s="4" t="s">
        <v>97</v>
      </c>
      <c r="D9" s="3" t="s">
        <v>25</v>
      </c>
      <c r="E9" s="3" t="s">
        <v>98</v>
      </c>
      <c r="F9" s="3" t="s">
        <v>69</v>
      </c>
    </row>
    <row r="10" spans="1:6" ht="18" customHeight="1" x14ac:dyDescent="0.3">
      <c r="A10" s="8" t="s">
        <v>99</v>
      </c>
      <c r="B10" s="7"/>
      <c r="C10" s="7"/>
      <c r="D10" s="7"/>
      <c r="E10" s="7"/>
      <c r="F10" s="7"/>
    </row>
    <row r="11" spans="1:6" ht="30" customHeight="1" x14ac:dyDescent="0.3">
      <c r="A11" s="3" t="s">
        <v>100</v>
      </c>
      <c r="B11" s="3" t="s">
        <v>101</v>
      </c>
      <c r="C11" s="4" t="s">
        <v>102</v>
      </c>
      <c r="D11" s="3" t="s">
        <v>69</v>
      </c>
      <c r="E11" s="3" t="s">
        <v>103</v>
      </c>
      <c r="F11" s="3" t="s">
        <v>102</v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32" customWidth="1"/>
    <col min="2" max="2" width="4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9" t="s">
        <v>104</v>
      </c>
      <c r="B1" s="7"/>
      <c r="C1" s="7"/>
      <c r="D1" s="7"/>
      <c r="E1" s="7"/>
      <c r="F1" s="7"/>
    </row>
    <row r="2" spans="1:6" ht="22.05" customHeight="1" x14ac:dyDescent="0.3">
      <c r="A2" s="6" t="s">
        <v>105</v>
      </c>
      <c r="B2" s="7"/>
      <c r="C2" s="7"/>
      <c r="D2" s="7"/>
      <c r="E2" s="7"/>
      <c r="F2" s="7"/>
    </row>
    <row r="3" spans="1:6" ht="22.05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</row>
    <row r="4" spans="1:6" ht="18" customHeight="1" x14ac:dyDescent="0.3">
      <c r="A4" s="8" t="s">
        <v>106</v>
      </c>
      <c r="B4" s="7"/>
      <c r="C4" s="7"/>
      <c r="D4" s="7"/>
      <c r="E4" s="7"/>
      <c r="F4" s="7"/>
    </row>
    <row r="5" spans="1:6" ht="30" customHeight="1" x14ac:dyDescent="0.3">
      <c r="A5" s="3" t="s">
        <v>107</v>
      </c>
      <c r="B5" s="3" t="s">
        <v>108</v>
      </c>
      <c r="C5" s="4" t="s">
        <v>109</v>
      </c>
      <c r="D5" s="3" t="s">
        <v>25</v>
      </c>
      <c r="E5" s="3" t="s">
        <v>110</v>
      </c>
      <c r="F5" s="3" t="s">
        <v>69</v>
      </c>
    </row>
    <row r="6" spans="1:6" ht="30" customHeight="1" x14ac:dyDescent="0.3">
      <c r="A6" s="5" t="s">
        <v>111</v>
      </c>
      <c r="B6" s="5" t="s">
        <v>112</v>
      </c>
      <c r="C6" s="4" t="s">
        <v>113</v>
      </c>
      <c r="D6" s="5" t="s">
        <v>25</v>
      </c>
      <c r="E6" s="5" t="s">
        <v>114</v>
      </c>
      <c r="F6" s="5" t="s">
        <v>69</v>
      </c>
    </row>
    <row r="7" spans="1:6" ht="30" customHeight="1" x14ac:dyDescent="0.3">
      <c r="A7" s="3" t="s">
        <v>115</v>
      </c>
      <c r="B7" s="3" t="s">
        <v>116</v>
      </c>
      <c r="C7" s="4" t="s">
        <v>117</v>
      </c>
      <c r="D7" s="3" t="s">
        <v>25</v>
      </c>
      <c r="E7" s="3" t="s">
        <v>118</v>
      </c>
      <c r="F7" s="3" t="s">
        <v>69</v>
      </c>
    </row>
    <row r="8" spans="1:6" ht="30" customHeight="1" x14ac:dyDescent="0.3">
      <c r="A8" s="5" t="s">
        <v>119</v>
      </c>
      <c r="B8" s="5" t="s">
        <v>120</v>
      </c>
      <c r="C8" s="4">
        <v>5.8056599999999996</v>
      </c>
      <c r="D8" s="5" t="s">
        <v>49</v>
      </c>
      <c r="E8" s="5" t="s">
        <v>121</v>
      </c>
      <c r="F8" s="5" t="s">
        <v>122</v>
      </c>
    </row>
    <row r="9" spans="1:6" ht="18" customHeight="1" x14ac:dyDescent="0.3">
      <c r="A9" s="8" t="s">
        <v>123</v>
      </c>
      <c r="B9" s="7"/>
      <c r="C9" s="7"/>
      <c r="D9" s="7"/>
      <c r="E9" s="7"/>
      <c r="F9" s="7"/>
    </row>
    <row r="10" spans="1:6" ht="30" customHeight="1" x14ac:dyDescent="0.3">
      <c r="A10" s="5" t="s">
        <v>124</v>
      </c>
      <c r="B10" s="5" t="s">
        <v>125</v>
      </c>
      <c r="C10" s="4" t="s">
        <v>126</v>
      </c>
      <c r="D10" s="5" t="s">
        <v>25</v>
      </c>
      <c r="E10" s="5" t="s">
        <v>127</v>
      </c>
      <c r="F10" s="5" t="s">
        <v>69</v>
      </c>
    </row>
    <row r="11" spans="1:6" ht="30" customHeight="1" x14ac:dyDescent="0.3">
      <c r="A11" s="3" t="s">
        <v>128</v>
      </c>
      <c r="B11" s="3" t="s">
        <v>129</v>
      </c>
      <c r="C11" s="4" t="s">
        <v>130</v>
      </c>
      <c r="D11" s="3" t="s">
        <v>25</v>
      </c>
      <c r="E11" s="3" t="s">
        <v>131</v>
      </c>
      <c r="F11" s="3" t="s">
        <v>69</v>
      </c>
    </row>
    <row r="12" spans="1:6" ht="30" customHeight="1" x14ac:dyDescent="0.3">
      <c r="A12" s="5" t="s">
        <v>132</v>
      </c>
      <c r="B12" s="5" t="s">
        <v>133</v>
      </c>
      <c r="C12" s="4" t="s">
        <v>134</v>
      </c>
      <c r="D12" s="5" t="s">
        <v>25</v>
      </c>
      <c r="E12" s="5" t="s">
        <v>135</v>
      </c>
      <c r="F12" s="5" t="s">
        <v>69</v>
      </c>
    </row>
    <row r="13" spans="1:6" ht="30" customHeight="1" x14ac:dyDescent="0.3">
      <c r="A13" s="3" t="s">
        <v>136</v>
      </c>
      <c r="B13" s="3" t="s">
        <v>137</v>
      </c>
      <c r="C13" s="4">
        <v>5.2778799999999997</v>
      </c>
      <c r="D13" s="3" t="s">
        <v>49</v>
      </c>
      <c r="E13" s="3" t="s">
        <v>138</v>
      </c>
      <c r="F13" s="3" t="s">
        <v>139</v>
      </c>
    </row>
    <row r="14" spans="1:6" ht="18" customHeight="1" x14ac:dyDescent="0.3">
      <c r="A14" s="8" t="s">
        <v>140</v>
      </c>
      <c r="B14" s="7"/>
      <c r="C14" s="7"/>
      <c r="D14" s="7"/>
      <c r="E14" s="7"/>
      <c r="F14" s="7"/>
    </row>
    <row r="15" spans="1:6" ht="30" customHeight="1" x14ac:dyDescent="0.3">
      <c r="A15" s="3" t="s">
        <v>141</v>
      </c>
      <c r="B15" s="3" t="s">
        <v>142</v>
      </c>
      <c r="C15" s="4" t="s">
        <v>143</v>
      </c>
      <c r="D15" s="3" t="s">
        <v>25</v>
      </c>
      <c r="E15" s="3" t="s">
        <v>144</v>
      </c>
      <c r="F15" s="3" t="s">
        <v>69</v>
      </c>
    </row>
    <row r="16" spans="1:6" ht="30" customHeight="1" x14ac:dyDescent="0.3">
      <c r="A16" s="5" t="s">
        <v>145</v>
      </c>
      <c r="B16" s="5" t="s">
        <v>146</v>
      </c>
      <c r="C16" s="4" t="s">
        <v>147</v>
      </c>
      <c r="D16" s="5" t="s">
        <v>25</v>
      </c>
      <c r="E16" s="5" t="s">
        <v>148</v>
      </c>
      <c r="F16" s="5" t="s">
        <v>149</v>
      </c>
    </row>
    <row r="17" spans="1:6" ht="30" customHeight="1" x14ac:dyDescent="0.3">
      <c r="A17" s="3" t="s">
        <v>150</v>
      </c>
      <c r="B17" s="3" t="s">
        <v>151</v>
      </c>
      <c r="C17" s="4">
        <v>0</v>
      </c>
      <c r="D17" s="3" t="s">
        <v>152</v>
      </c>
      <c r="E17" s="3" t="s">
        <v>153</v>
      </c>
      <c r="F17" s="3" t="s">
        <v>154</v>
      </c>
    </row>
    <row r="18" spans="1:6" ht="30" customHeight="1" x14ac:dyDescent="0.3">
      <c r="A18" s="5" t="s">
        <v>155</v>
      </c>
      <c r="B18" s="5" t="s">
        <v>156</v>
      </c>
      <c r="C18" s="4">
        <v>0</v>
      </c>
      <c r="D18" s="5" t="s">
        <v>152</v>
      </c>
      <c r="E18" s="5" t="s">
        <v>157</v>
      </c>
      <c r="F18" s="5" t="s">
        <v>158</v>
      </c>
    </row>
    <row r="19" spans="1:6" ht="30" customHeight="1" x14ac:dyDescent="0.3">
      <c r="A19" s="3" t="s">
        <v>159</v>
      </c>
      <c r="B19" s="3" t="s">
        <v>160</v>
      </c>
      <c r="C19" s="4">
        <v>0.15</v>
      </c>
      <c r="D19" s="3" t="s">
        <v>25</v>
      </c>
      <c r="E19" s="3" t="s">
        <v>161</v>
      </c>
      <c r="F19" s="3" t="s">
        <v>162</v>
      </c>
    </row>
    <row r="20" spans="1:6" ht="30" customHeight="1" x14ac:dyDescent="0.3">
      <c r="A20" s="5" t="s">
        <v>163</v>
      </c>
      <c r="B20" s="5" t="s">
        <v>164</v>
      </c>
      <c r="C20" s="4">
        <v>1.0491900000000001</v>
      </c>
      <c r="D20" s="5" t="s">
        <v>49</v>
      </c>
      <c r="E20" s="5" t="s">
        <v>165</v>
      </c>
      <c r="F20" s="5" t="s">
        <v>166</v>
      </c>
    </row>
    <row r="21" spans="1:6" ht="30" customHeight="1" x14ac:dyDescent="0.3">
      <c r="A21" s="3" t="s">
        <v>167</v>
      </c>
      <c r="B21" s="3" t="s">
        <v>168</v>
      </c>
      <c r="C21" s="4">
        <v>1.76</v>
      </c>
      <c r="D21" s="3" t="s">
        <v>49</v>
      </c>
      <c r="E21" s="3" t="s">
        <v>169</v>
      </c>
      <c r="F21" s="3" t="s">
        <v>170</v>
      </c>
    </row>
    <row r="22" spans="1:6" ht="18" customHeight="1" x14ac:dyDescent="0.3">
      <c r="A22" s="8" t="s">
        <v>171</v>
      </c>
      <c r="B22" s="7"/>
      <c r="C22" s="7"/>
      <c r="D22" s="7"/>
      <c r="E22" s="7"/>
      <c r="F22" s="7"/>
    </row>
    <row r="23" spans="1:6" ht="30" customHeight="1" x14ac:dyDescent="0.3">
      <c r="A23" s="3" t="s">
        <v>172</v>
      </c>
      <c r="B23" s="3" t="s">
        <v>173</v>
      </c>
      <c r="C23" s="4" t="s">
        <v>174</v>
      </c>
      <c r="D23" s="3" t="s">
        <v>25</v>
      </c>
      <c r="E23" s="3" t="s">
        <v>175</v>
      </c>
      <c r="F23" s="3" t="s">
        <v>69</v>
      </c>
    </row>
    <row r="24" spans="1:6" ht="30" customHeight="1" x14ac:dyDescent="0.3">
      <c r="A24" s="5" t="s">
        <v>176</v>
      </c>
      <c r="B24" s="5" t="s">
        <v>177</v>
      </c>
      <c r="C24" s="4" t="s">
        <v>178</v>
      </c>
      <c r="D24" s="5" t="s">
        <v>25</v>
      </c>
      <c r="E24" s="5" t="s">
        <v>179</v>
      </c>
      <c r="F24" s="5" t="s">
        <v>69</v>
      </c>
    </row>
    <row r="25" spans="1:6" ht="30" customHeight="1" x14ac:dyDescent="0.3">
      <c r="A25" s="3" t="s">
        <v>180</v>
      </c>
      <c r="B25" s="3" t="s">
        <v>181</v>
      </c>
      <c r="C25" s="4">
        <v>5.2778799999999997</v>
      </c>
      <c r="D25" s="3" t="s">
        <v>49</v>
      </c>
      <c r="E25" s="3" t="s">
        <v>182</v>
      </c>
      <c r="F25" s="3" t="s">
        <v>183</v>
      </c>
    </row>
    <row r="26" spans="1:6" ht="18" customHeight="1" x14ac:dyDescent="0.3">
      <c r="A26" s="8" t="s">
        <v>184</v>
      </c>
      <c r="B26" s="7"/>
      <c r="C26" s="7"/>
      <c r="D26" s="7"/>
      <c r="E26" s="7"/>
      <c r="F26" s="7"/>
    </row>
    <row r="27" spans="1:6" ht="30" customHeight="1" x14ac:dyDescent="0.3">
      <c r="A27" s="3" t="s">
        <v>185</v>
      </c>
      <c r="B27" s="3" t="s">
        <v>186</v>
      </c>
      <c r="C27" s="4" t="s">
        <v>187</v>
      </c>
      <c r="D27" s="3" t="s">
        <v>25</v>
      </c>
      <c r="E27" s="3" t="s">
        <v>188</v>
      </c>
      <c r="F27" s="3" t="s">
        <v>69</v>
      </c>
    </row>
    <row r="28" spans="1:6" ht="30" customHeight="1" x14ac:dyDescent="0.3">
      <c r="A28" s="5" t="s">
        <v>189</v>
      </c>
      <c r="B28" s="5" t="s">
        <v>190</v>
      </c>
      <c r="C28" s="4" t="s">
        <v>191</v>
      </c>
      <c r="D28" s="5" t="s">
        <v>25</v>
      </c>
      <c r="E28" s="5" t="s">
        <v>192</v>
      </c>
      <c r="F28" s="5" t="s">
        <v>69</v>
      </c>
    </row>
    <row r="29" spans="1:6" ht="30" customHeight="1" x14ac:dyDescent="0.3">
      <c r="A29" s="3" t="s">
        <v>193</v>
      </c>
      <c r="B29" s="3" t="s">
        <v>194</v>
      </c>
      <c r="C29" s="4">
        <v>3.6529410000000002</v>
      </c>
      <c r="D29" s="3" t="s">
        <v>49</v>
      </c>
      <c r="E29" s="3" t="s">
        <v>195</v>
      </c>
      <c r="F29" s="3" t="s">
        <v>196</v>
      </c>
    </row>
    <row r="30" spans="1:6" ht="30" customHeight="1" x14ac:dyDescent="0.3">
      <c r="A30" s="5" t="s">
        <v>197</v>
      </c>
      <c r="B30" s="5" t="s">
        <v>198</v>
      </c>
      <c r="C30" s="4">
        <v>4.3157699999999997</v>
      </c>
      <c r="D30" s="5" t="s">
        <v>49</v>
      </c>
      <c r="E30" s="5" t="s">
        <v>199</v>
      </c>
      <c r="F30" s="5" t="s">
        <v>196</v>
      </c>
    </row>
    <row r="31" spans="1:6" ht="18" customHeight="1" x14ac:dyDescent="0.3">
      <c r="A31" s="8" t="s">
        <v>200</v>
      </c>
      <c r="B31" s="7"/>
      <c r="C31" s="7"/>
      <c r="D31" s="7"/>
      <c r="E31" s="7"/>
      <c r="F31" s="7"/>
    </row>
    <row r="32" spans="1:6" ht="30" customHeight="1" x14ac:dyDescent="0.3">
      <c r="A32" s="5" t="s">
        <v>201</v>
      </c>
      <c r="B32" s="5" t="s">
        <v>202</v>
      </c>
      <c r="C32" s="4">
        <v>4.2000000000000003E-2</v>
      </c>
      <c r="D32" s="5" t="s">
        <v>25</v>
      </c>
      <c r="E32" s="5" t="s">
        <v>203</v>
      </c>
      <c r="F32" s="5" t="s">
        <v>204</v>
      </c>
    </row>
    <row r="33" spans="1:6" ht="30" customHeight="1" x14ac:dyDescent="0.3">
      <c r="A33" s="3" t="s">
        <v>205</v>
      </c>
      <c r="B33" s="3" t="s">
        <v>206</v>
      </c>
      <c r="C33" s="4">
        <v>-3.7999999999999999E-2</v>
      </c>
      <c r="D33" s="3" t="s">
        <v>25</v>
      </c>
      <c r="E33" s="3" t="s">
        <v>207</v>
      </c>
      <c r="F33" s="3" t="s">
        <v>208</v>
      </c>
    </row>
    <row r="34" spans="1:6" ht="18" customHeight="1" x14ac:dyDescent="0.3">
      <c r="A34" s="8" t="s">
        <v>209</v>
      </c>
      <c r="B34" s="7"/>
      <c r="C34" s="7"/>
      <c r="D34" s="7"/>
      <c r="E34" s="7"/>
      <c r="F34" s="7"/>
    </row>
    <row r="35" spans="1:6" ht="30" customHeight="1" x14ac:dyDescent="0.3">
      <c r="A35" s="3" t="s">
        <v>210</v>
      </c>
      <c r="B35" s="3" t="s">
        <v>211</v>
      </c>
      <c r="C35" s="4" t="s">
        <v>212</v>
      </c>
      <c r="D35" s="3" t="s">
        <v>25</v>
      </c>
      <c r="E35" s="3" t="s">
        <v>213</v>
      </c>
      <c r="F35" s="3" t="s">
        <v>69</v>
      </c>
    </row>
    <row r="36" spans="1:6" ht="30" customHeight="1" x14ac:dyDescent="0.3">
      <c r="A36" s="5" t="s">
        <v>214</v>
      </c>
      <c r="B36" s="5" t="s">
        <v>215</v>
      </c>
      <c r="C36" s="4" t="s">
        <v>216</v>
      </c>
      <c r="D36" s="5" t="s">
        <v>25</v>
      </c>
      <c r="E36" s="5" t="s">
        <v>217</v>
      </c>
      <c r="F36" s="5" t="s">
        <v>69</v>
      </c>
    </row>
    <row r="37" spans="1:6" ht="30" customHeight="1" x14ac:dyDescent="0.3">
      <c r="A37" s="3" t="s">
        <v>218</v>
      </c>
      <c r="B37" s="3" t="s">
        <v>219</v>
      </c>
      <c r="C37" s="4">
        <v>5.8304799999999997E-2</v>
      </c>
      <c r="D37" s="3" t="s">
        <v>49</v>
      </c>
      <c r="E37" s="3" t="s">
        <v>220</v>
      </c>
      <c r="F37" s="3" t="s">
        <v>221</v>
      </c>
    </row>
    <row r="38" spans="1:6" ht="18" customHeight="1" x14ac:dyDescent="0.3">
      <c r="A38" s="8" t="s">
        <v>222</v>
      </c>
      <c r="B38" s="7"/>
      <c r="C38" s="7"/>
      <c r="D38" s="7"/>
      <c r="E38" s="7"/>
      <c r="F38" s="7"/>
    </row>
    <row r="39" spans="1:6" ht="30" customHeight="1" x14ac:dyDescent="0.3">
      <c r="A39" s="3" t="s">
        <v>223</v>
      </c>
      <c r="B39" s="3" t="s">
        <v>224</v>
      </c>
      <c r="C39" s="4" t="s">
        <v>225</v>
      </c>
      <c r="D39" s="3" t="s">
        <v>25</v>
      </c>
      <c r="E39" s="3" t="s">
        <v>226</v>
      </c>
      <c r="F39" s="3" t="s">
        <v>69</v>
      </c>
    </row>
    <row r="40" spans="1:6" ht="30" customHeight="1" x14ac:dyDescent="0.3">
      <c r="A40" s="5" t="s">
        <v>227</v>
      </c>
      <c r="B40" s="5" t="s">
        <v>228</v>
      </c>
      <c r="C40" s="4" t="s">
        <v>229</v>
      </c>
      <c r="D40" s="5" t="s">
        <v>25</v>
      </c>
      <c r="E40" s="5" t="s">
        <v>230</v>
      </c>
      <c r="F40" s="5" t="s">
        <v>69</v>
      </c>
    </row>
    <row r="41" spans="1:6" ht="30" customHeight="1" x14ac:dyDescent="0.3">
      <c r="A41" s="3" t="s">
        <v>231</v>
      </c>
      <c r="B41" s="3" t="s">
        <v>232</v>
      </c>
      <c r="C41" s="4">
        <v>0.22806699999999999</v>
      </c>
      <c r="D41" s="3" t="s">
        <v>49</v>
      </c>
      <c r="E41" s="3" t="s">
        <v>233</v>
      </c>
      <c r="F41" s="3" t="s">
        <v>234</v>
      </c>
    </row>
  </sheetData>
  <mergeCells count="10">
    <mergeCell ref="A38:F38"/>
    <mergeCell ref="A2:F2"/>
    <mergeCell ref="A14:F14"/>
    <mergeCell ref="A1:F1"/>
    <mergeCell ref="A9:F9"/>
    <mergeCell ref="A31:F31"/>
    <mergeCell ref="A22:F22"/>
    <mergeCell ref="A34:F34"/>
    <mergeCell ref="A4:F4"/>
    <mergeCell ref="A26:F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32" customWidth="1"/>
    <col min="2" max="2" width="4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9" t="s">
        <v>235</v>
      </c>
      <c r="B1" s="7"/>
      <c r="C1" s="7"/>
      <c r="D1" s="7"/>
      <c r="E1" s="7"/>
      <c r="F1" s="7"/>
    </row>
    <row r="2" spans="1:6" ht="22.05" customHeight="1" x14ac:dyDescent="0.3">
      <c r="A2" s="6" t="s">
        <v>236</v>
      </c>
      <c r="B2" s="7"/>
      <c r="C2" s="7"/>
      <c r="D2" s="7"/>
      <c r="E2" s="7"/>
      <c r="F2" s="7"/>
    </row>
    <row r="3" spans="1:6" ht="22.05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</row>
    <row r="4" spans="1:6" ht="18" customHeight="1" x14ac:dyDescent="0.3">
      <c r="A4" s="8" t="s">
        <v>237</v>
      </c>
      <c r="B4" s="7"/>
      <c r="C4" s="7"/>
      <c r="D4" s="7"/>
      <c r="E4" s="7"/>
      <c r="F4" s="7"/>
    </row>
    <row r="5" spans="1:6" ht="30" customHeight="1" x14ac:dyDescent="0.3">
      <c r="A5" s="3" t="s">
        <v>238</v>
      </c>
      <c r="B5" s="3" t="s">
        <v>239</v>
      </c>
      <c r="C5" s="4" t="s">
        <v>229</v>
      </c>
      <c r="D5" s="3" t="s">
        <v>25</v>
      </c>
      <c r="E5" s="3" t="s">
        <v>240</v>
      </c>
      <c r="F5" s="3" t="s">
        <v>69</v>
      </c>
    </row>
    <row r="6" spans="1:6" ht="30" customHeight="1" x14ac:dyDescent="0.3">
      <c r="A6" s="5" t="s">
        <v>241</v>
      </c>
      <c r="B6" s="5" t="s">
        <v>242</v>
      </c>
      <c r="C6" s="4" t="s">
        <v>243</v>
      </c>
      <c r="D6" s="5" t="s">
        <v>25</v>
      </c>
      <c r="E6" s="5" t="s">
        <v>244</v>
      </c>
      <c r="F6" s="5" t="s">
        <v>69</v>
      </c>
    </row>
    <row r="7" spans="1:6" ht="30" customHeight="1" x14ac:dyDescent="0.3">
      <c r="A7" s="3" t="s">
        <v>245</v>
      </c>
      <c r="B7" s="3" t="s">
        <v>246</v>
      </c>
      <c r="C7" s="4" t="s">
        <v>247</v>
      </c>
      <c r="D7" s="3" t="s">
        <v>25</v>
      </c>
      <c r="E7" s="3" t="s">
        <v>248</v>
      </c>
      <c r="F7" s="3" t="s">
        <v>69</v>
      </c>
    </row>
    <row r="8" spans="1:6" ht="30" customHeight="1" x14ac:dyDescent="0.3">
      <c r="A8" s="5" t="s">
        <v>249</v>
      </c>
      <c r="B8" s="5" t="s">
        <v>250</v>
      </c>
      <c r="C8" s="4" t="s">
        <v>251</v>
      </c>
      <c r="D8" s="5" t="s">
        <v>25</v>
      </c>
      <c r="E8" s="5" t="s">
        <v>252</v>
      </c>
      <c r="F8" s="5" t="s">
        <v>69</v>
      </c>
    </row>
    <row r="9" spans="1:6" ht="30" customHeight="1" x14ac:dyDescent="0.3">
      <c r="A9" s="3" t="s">
        <v>253</v>
      </c>
      <c r="B9" s="3" t="s">
        <v>254</v>
      </c>
      <c r="C9" s="4">
        <v>30.96</v>
      </c>
      <c r="D9" s="3" t="s">
        <v>255</v>
      </c>
      <c r="E9" s="3" t="s">
        <v>256</v>
      </c>
      <c r="F9" s="3" t="s">
        <v>257</v>
      </c>
    </row>
    <row r="10" spans="1:6" ht="30" customHeight="1" x14ac:dyDescent="0.3">
      <c r="A10" s="5" t="s">
        <v>258</v>
      </c>
      <c r="B10" s="5" t="s">
        <v>259</v>
      </c>
      <c r="C10" s="4">
        <v>3</v>
      </c>
      <c r="D10" s="5" t="s">
        <v>260</v>
      </c>
      <c r="E10" s="5" t="s">
        <v>261</v>
      </c>
      <c r="F10" s="5" t="s">
        <v>262</v>
      </c>
    </row>
    <row r="11" spans="1:6" ht="30" customHeight="1" x14ac:dyDescent="0.3">
      <c r="A11" s="3" t="s">
        <v>263</v>
      </c>
      <c r="B11" s="3" t="s">
        <v>264</v>
      </c>
      <c r="C11" s="4">
        <v>20</v>
      </c>
      <c r="D11" s="3" t="s">
        <v>49</v>
      </c>
      <c r="E11" s="3" t="s">
        <v>265</v>
      </c>
      <c r="F11" s="3" t="s">
        <v>266</v>
      </c>
    </row>
    <row r="12" spans="1:6" ht="18" customHeight="1" x14ac:dyDescent="0.3">
      <c r="A12" s="8" t="s">
        <v>267</v>
      </c>
      <c r="B12" s="7"/>
      <c r="C12" s="7"/>
      <c r="D12" s="7"/>
      <c r="E12" s="7"/>
      <c r="F12" s="7"/>
    </row>
    <row r="13" spans="1:6" ht="30" customHeight="1" x14ac:dyDescent="0.3">
      <c r="A13" s="3" t="s">
        <v>268</v>
      </c>
      <c r="B13" s="3" t="s">
        <v>269</v>
      </c>
      <c r="C13" s="4" t="s">
        <v>270</v>
      </c>
      <c r="D13" s="3" t="s">
        <v>69</v>
      </c>
      <c r="E13" s="3" t="s">
        <v>271</v>
      </c>
      <c r="F13" s="3" t="s">
        <v>270</v>
      </c>
    </row>
    <row r="14" spans="1:6" ht="30" customHeight="1" x14ac:dyDescent="0.3">
      <c r="A14" s="5" t="s">
        <v>272</v>
      </c>
      <c r="B14" s="5" t="s">
        <v>273</v>
      </c>
      <c r="C14" s="4" t="s">
        <v>274</v>
      </c>
      <c r="D14" s="5" t="s">
        <v>25</v>
      </c>
      <c r="E14" s="5" t="s">
        <v>275</v>
      </c>
      <c r="F14" s="5" t="s">
        <v>69</v>
      </c>
    </row>
    <row r="15" spans="1:6" ht="30" customHeight="1" x14ac:dyDescent="0.3">
      <c r="A15" s="3" t="s">
        <v>276</v>
      </c>
      <c r="B15" s="3" t="s">
        <v>277</v>
      </c>
      <c r="C15" s="4">
        <v>19.792000000000002</v>
      </c>
      <c r="D15" s="3" t="s">
        <v>49</v>
      </c>
      <c r="E15" s="3" t="s">
        <v>278</v>
      </c>
      <c r="F15" s="3" t="s">
        <v>279</v>
      </c>
    </row>
    <row r="16" spans="1:6" ht="30" customHeight="1" x14ac:dyDescent="0.3">
      <c r="A16" s="5" t="s">
        <v>280</v>
      </c>
      <c r="B16" s="5" t="s">
        <v>281</v>
      </c>
      <c r="C16" s="4">
        <v>50</v>
      </c>
      <c r="D16" s="5" t="s">
        <v>282</v>
      </c>
      <c r="E16" s="5" t="s">
        <v>283</v>
      </c>
      <c r="F16" s="5" t="s">
        <v>284</v>
      </c>
    </row>
    <row r="17" spans="1:6" ht="30" customHeight="1" x14ac:dyDescent="0.3">
      <c r="A17" s="3" t="s">
        <v>285</v>
      </c>
      <c r="B17" s="3" t="s">
        <v>286</v>
      </c>
      <c r="C17" s="4" t="s">
        <v>287</v>
      </c>
      <c r="D17" s="3" t="s">
        <v>25</v>
      </c>
      <c r="E17" s="3" t="s">
        <v>288</v>
      </c>
      <c r="F17" s="3" t="s">
        <v>69</v>
      </c>
    </row>
    <row r="18" spans="1:6" ht="30" customHeight="1" x14ac:dyDescent="0.3">
      <c r="A18" s="5" t="s">
        <v>289</v>
      </c>
      <c r="B18" s="5" t="s">
        <v>290</v>
      </c>
      <c r="C18" s="4">
        <v>0.18</v>
      </c>
      <c r="D18" s="5" t="s">
        <v>291</v>
      </c>
      <c r="E18" s="5" t="s">
        <v>292</v>
      </c>
      <c r="F18" s="5" t="s">
        <v>293</v>
      </c>
    </row>
    <row r="19" spans="1:6" ht="30" customHeight="1" x14ac:dyDescent="0.3">
      <c r="A19" s="3" t="s">
        <v>294</v>
      </c>
      <c r="B19" s="3" t="s">
        <v>295</v>
      </c>
      <c r="C19" s="4">
        <v>1</v>
      </c>
      <c r="D19" s="3" t="s">
        <v>49</v>
      </c>
      <c r="E19" s="3" t="s">
        <v>296</v>
      </c>
      <c r="F19" s="3" t="s">
        <v>166</v>
      </c>
    </row>
    <row r="20" spans="1:6" ht="30" customHeight="1" x14ac:dyDescent="0.3">
      <c r="A20" s="5" t="s">
        <v>297</v>
      </c>
      <c r="B20" s="5" t="s">
        <v>298</v>
      </c>
      <c r="C20" s="4">
        <v>1.3650000000000001E-2</v>
      </c>
      <c r="D20" s="5" t="s">
        <v>25</v>
      </c>
      <c r="E20" s="5" t="s">
        <v>299</v>
      </c>
      <c r="F20" s="5" t="s">
        <v>300</v>
      </c>
    </row>
    <row r="21" spans="1:6" ht="30" customHeight="1" x14ac:dyDescent="0.3">
      <c r="A21" s="3" t="s">
        <v>301</v>
      </c>
      <c r="B21" s="3" t="s">
        <v>302</v>
      </c>
      <c r="C21" s="4" t="s">
        <v>303</v>
      </c>
      <c r="D21" s="3" t="s">
        <v>25</v>
      </c>
      <c r="E21" s="3" t="s">
        <v>304</v>
      </c>
      <c r="F21" s="3" t="s">
        <v>69</v>
      </c>
    </row>
  </sheetData>
  <mergeCells count="4">
    <mergeCell ref="A2:F2"/>
    <mergeCell ref="A1:F1"/>
    <mergeCell ref="A12:F12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7"/>
  <sheetViews>
    <sheetView showGridLines="0" workbookViewId="0">
      <pane ySplit="4" topLeftCell="A28" activePane="bottomLeft" state="frozen"/>
      <selection pane="bottomLeft" sqref="A1:F1"/>
    </sheetView>
  </sheetViews>
  <sheetFormatPr defaultRowHeight="14.4" x14ac:dyDescent="0.3"/>
  <cols>
    <col min="1" max="1" width="32" customWidth="1"/>
    <col min="2" max="2" width="4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9" t="s">
        <v>305</v>
      </c>
      <c r="B1" s="7"/>
      <c r="C1" s="7"/>
      <c r="D1" s="7"/>
      <c r="E1" s="7"/>
      <c r="F1" s="7"/>
    </row>
    <row r="2" spans="1:6" ht="22.05" customHeight="1" x14ac:dyDescent="0.3">
      <c r="A2" s="6" t="s">
        <v>306</v>
      </c>
      <c r="B2" s="7"/>
      <c r="C2" s="7"/>
      <c r="D2" s="7"/>
      <c r="E2" s="7"/>
      <c r="F2" s="7"/>
    </row>
    <row r="3" spans="1:6" ht="22.05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</row>
    <row r="4" spans="1:6" ht="18" customHeight="1" x14ac:dyDescent="0.3">
      <c r="A4" s="8" t="s">
        <v>307</v>
      </c>
      <c r="B4" s="7"/>
      <c r="C4" s="7"/>
      <c r="D4" s="7"/>
      <c r="E4" s="7"/>
      <c r="F4" s="7"/>
    </row>
    <row r="5" spans="1:6" ht="30" customHeight="1" x14ac:dyDescent="0.3">
      <c r="A5" s="3" t="s">
        <v>308</v>
      </c>
      <c r="B5" s="3" t="s">
        <v>309</v>
      </c>
      <c r="C5" s="4" t="s">
        <v>310</v>
      </c>
      <c r="D5" s="3" t="s">
        <v>25</v>
      </c>
      <c r="E5" s="3" t="s">
        <v>311</v>
      </c>
      <c r="F5" s="3" t="s">
        <v>69</v>
      </c>
    </row>
    <row r="6" spans="1:6" ht="30" customHeight="1" x14ac:dyDescent="0.3">
      <c r="A6" s="5" t="s">
        <v>312</v>
      </c>
      <c r="B6" s="5" t="s">
        <v>313</v>
      </c>
      <c r="C6" s="4" t="s">
        <v>314</v>
      </c>
      <c r="D6" s="5" t="s">
        <v>25</v>
      </c>
      <c r="E6" s="5" t="s">
        <v>315</v>
      </c>
      <c r="F6" s="5" t="s">
        <v>69</v>
      </c>
    </row>
    <row r="7" spans="1:6" ht="30" customHeight="1" x14ac:dyDescent="0.3">
      <c r="A7" s="3" t="s">
        <v>316</v>
      </c>
      <c r="B7" s="3" t="s">
        <v>317</v>
      </c>
      <c r="C7" s="4" t="s">
        <v>318</v>
      </c>
      <c r="D7" s="3" t="s">
        <v>25</v>
      </c>
      <c r="E7" s="3" t="s">
        <v>319</v>
      </c>
      <c r="F7" s="3" t="s">
        <v>69</v>
      </c>
    </row>
    <row r="8" spans="1:6" ht="30" customHeight="1" x14ac:dyDescent="0.3">
      <c r="A8" s="5" t="s">
        <v>320</v>
      </c>
      <c r="B8" s="5" t="s">
        <v>321</v>
      </c>
      <c r="C8" s="4">
        <v>5.8056599999999996</v>
      </c>
      <c r="D8" s="5" t="s">
        <v>49</v>
      </c>
      <c r="E8" s="5" t="s">
        <v>322</v>
      </c>
      <c r="F8" s="5" t="s">
        <v>122</v>
      </c>
    </row>
    <row r="9" spans="1:6" ht="18" customHeight="1" x14ac:dyDescent="0.3">
      <c r="A9" s="8" t="s">
        <v>323</v>
      </c>
      <c r="B9" s="7"/>
      <c r="C9" s="7"/>
      <c r="D9" s="7"/>
      <c r="E9" s="7"/>
      <c r="F9" s="7"/>
    </row>
    <row r="10" spans="1:6" ht="30" customHeight="1" x14ac:dyDescent="0.3">
      <c r="A10" s="5" t="s">
        <v>324</v>
      </c>
      <c r="B10" s="5" t="s">
        <v>325</v>
      </c>
      <c r="C10" s="4" t="s">
        <v>326</v>
      </c>
      <c r="D10" s="5" t="s">
        <v>25</v>
      </c>
      <c r="E10" s="5" t="s">
        <v>327</v>
      </c>
      <c r="F10" s="5" t="s">
        <v>69</v>
      </c>
    </row>
    <row r="11" spans="1:6" ht="30" customHeight="1" x14ac:dyDescent="0.3">
      <c r="A11" s="3" t="s">
        <v>328</v>
      </c>
      <c r="B11" s="3" t="s">
        <v>329</v>
      </c>
      <c r="C11" s="4" t="s">
        <v>330</v>
      </c>
      <c r="D11" s="3" t="s">
        <v>25</v>
      </c>
      <c r="E11" s="3" t="s">
        <v>331</v>
      </c>
      <c r="F11" s="3" t="s">
        <v>69</v>
      </c>
    </row>
    <row r="12" spans="1:6" ht="30" customHeight="1" x14ac:dyDescent="0.3">
      <c r="A12" s="5" t="s">
        <v>332</v>
      </c>
      <c r="B12" s="5" t="s">
        <v>333</v>
      </c>
      <c r="C12" s="4" t="s">
        <v>334</v>
      </c>
      <c r="D12" s="5" t="s">
        <v>25</v>
      </c>
      <c r="E12" s="5" t="s">
        <v>335</v>
      </c>
      <c r="F12" s="5" t="s">
        <v>69</v>
      </c>
    </row>
    <row r="13" spans="1:6" ht="30" customHeight="1" x14ac:dyDescent="0.3">
      <c r="A13" s="3" t="s">
        <v>336</v>
      </c>
      <c r="B13" s="3" t="s">
        <v>337</v>
      </c>
      <c r="C13" s="4">
        <v>5.2778799999999997</v>
      </c>
      <c r="D13" s="3" t="s">
        <v>49</v>
      </c>
      <c r="E13" s="3" t="s">
        <v>338</v>
      </c>
      <c r="F13" s="3" t="s">
        <v>139</v>
      </c>
    </row>
    <row r="14" spans="1:6" ht="18" customHeight="1" x14ac:dyDescent="0.3">
      <c r="A14" s="8" t="s">
        <v>339</v>
      </c>
      <c r="B14" s="7"/>
      <c r="C14" s="7"/>
      <c r="D14" s="7"/>
      <c r="E14" s="7"/>
      <c r="F14" s="7"/>
    </row>
    <row r="15" spans="1:6" ht="30" customHeight="1" x14ac:dyDescent="0.3">
      <c r="A15" s="3" t="s">
        <v>340</v>
      </c>
      <c r="B15" s="3" t="s">
        <v>341</v>
      </c>
      <c r="C15" s="4" t="s">
        <v>342</v>
      </c>
      <c r="D15" s="3" t="s">
        <v>25</v>
      </c>
      <c r="E15" s="3" t="s">
        <v>343</v>
      </c>
      <c r="F15" s="3" t="s">
        <v>344</v>
      </c>
    </row>
    <row r="16" spans="1:6" ht="30" customHeight="1" x14ac:dyDescent="0.3">
      <c r="A16" s="5" t="s">
        <v>345</v>
      </c>
      <c r="B16" s="5" t="s">
        <v>346</v>
      </c>
      <c r="C16" s="4">
        <v>0</v>
      </c>
      <c r="D16" s="5" t="s">
        <v>152</v>
      </c>
      <c r="E16" s="5" t="s">
        <v>347</v>
      </c>
      <c r="F16" s="5" t="s">
        <v>348</v>
      </c>
    </row>
    <row r="17" spans="1:6" ht="30" customHeight="1" x14ac:dyDescent="0.3">
      <c r="A17" s="3" t="s">
        <v>349</v>
      </c>
      <c r="B17" s="3" t="s">
        <v>350</v>
      </c>
      <c r="C17" s="4">
        <v>0</v>
      </c>
      <c r="D17" s="3" t="s">
        <v>152</v>
      </c>
      <c r="E17" s="3" t="s">
        <v>351</v>
      </c>
      <c r="F17" s="3" t="s">
        <v>352</v>
      </c>
    </row>
    <row r="18" spans="1:6" ht="30" customHeight="1" x14ac:dyDescent="0.3">
      <c r="A18" s="5" t="s">
        <v>353</v>
      </c>
      <c r="B18" s="5" t="s">
        <v>354</v>
      </c>
      <c r="C18" s="4">
        <v>1.0491900000000001</v>
      </c>
      <c r="D18" s="5" t="s">
        <v>49</v>
      </c>
      <c r="E18" s="5" t="s">
        <v>355</v>
      </c>
      <c r="F18" s="5" t="s">
        <v>166</v>
      </c>
    </row>
    <row r="19" spans="1:6" ht="18" customHeight="1" x14ac:dyDescent="0.3">
      <c r="A19" s="8" t="s">
        <v>356</v>
      </c>
      <c r="B19" s="7"/>
      <c r="C19" s="7"/>
      <c r="D19" s="7"/>
      <c r="E19" s="7"/>
      <c r="F19" s="7"/>
    </row>
    <row r="20" spans="1:6" ht="30" customHeight="1" x14ac:dyDescent="0.3">
      <c r="A20" s="5" t="s">
        <v>357</v>
      </c>
      <c r="B20" s="5" t="s">
        <v>358</v>
      </c>
      <c r="C20" s="4" t="s">
        <v>359</v>
      </c>
      <c r="D20" s="5" t="s">
        <v>25</v>
      </c>
      <c r="E20" s="5" t="s">
        <v>360</v>
      </c>
      <c r="F20" s="5" t="s">
        <v>69</v>
      </c>
    </row>
    <row r="21" spans="1:6" ht="30" customHeight="1" x14ac:dyDescent="0.3">
      <c r="A21" s="3" t="s">
        <v>361</v>
      </c>
      <c r="B21" s="3" t="s">
        <v>362</v>
      </c>
      <c r="C21" s="4" t="s">
        <v>363</v>
      </c>
      <c r="D21" s="3" t="s">
        <v>25</v>
      </c>
      <c r="E21" s="3" t="s">
        <v>364</v>
      </c>
      <c r="F21" s="3" t="s">
        <v>69</v>
      </c>
    </row>
    <row r="22" spans="1:6" ht="18" customHeight="1" x14ac:dyDescent="0.3">
      <c r="A22" s="8" t="s">
        <v>365</v>
      </c>
      <c r="B22" s="7"/>
      <c r="C22" s="7"/>
      <c r="D22" s="7"/>
      <c r="E22" s="7"/>
      <c r="F22" s="7"/>
    </row>
    <row r="23" spans="1:6" ht="30" customHeight="1" x14ac:dyDescent="0.3">
      <c r="A23" s="3" t="s">
        <v>366</v>
      </c>
      <c r="B23" s="3" t="s">
        <v>367</v>
      </c>
      <c r="C23" s="4" t="s">
        <v>368</v>
      </c>
      <c r="D23" s="3" t="s">
        <v>25</v>
      </c>
      <c r="E23" s="3" t="s">
        <v>369</v>
      </c>
      <c r="F23" s="3" t="s">
        <v>69</v>
      </c>
    </row>
    <row r="24" spans="1:6" ht="30" customHeight="1" x14ac:dyDescent="0.3">
      <c r="A24" s="5" t="s">
        <v>370</v>
      </c>
      <c r="B24" s="5" t="s">
        <v>371</v>
      </c>
      <c r="C24" s="4" t="s">
        <v>372</v>
      </c>
      <c r="D24" s="5" t="s">
        <v>25</v>
      </c>
      <c r="E24" s="5" t="s">
        <v>373</v>
      </c>
      <c r="F24" s="5" t="s">
        <v>69</v>
      </c>
    </row>
    <row r="25" spans="1:6" ht="30" customHeight="1" x14ac:dyDescent="0.3">
      <c r="A25" s="3" t="s">
        <v>374</v>
      </c>
      <c r="B25" s="3" t="s">
        <v>375</v>
      </c>
      <c r="C25" s="4">
        <v>5.8304799999999997E-2</v>
      </c>
      <c r="D25" s="3" t="s">
        <v>49</v>
      </c>
      <c r="E25" s="3" t="s">
        <v>376</v>
      </c>
      <c r="F25" s="3" t="s">
        <v>221</v>
      </c>
    </row>
    <row r="26" spans="1:6" ht="18" customHeight="1" x14ac:dyDescent="0.3">
      <c r="A26" s="8" t="s">
        <v>377</v>
      </c>
      <c r="B26" s="7"/>
      <c r="C26" s="7"/>
      <c r="D26" s="7"/>
      <c r="E26" s="7"/>
      <c r="F26" s="7"/>
    </row>
    <row r="27" spans="1:6" ht="30" customHeight="1" x14ac:dyDescent="0.3">
      <c r="A27" s="3" t="s">
        <v>378</v>
      </c>
      <c r="B27" s="3" t="s">
        <v>379</v>
      </c>
      <c r="C27" s="4" t="s">
        <v>380</v>
      </c>
      <c r="D27" s="3" t="s">
        <v>25</v>
      </c>
      <c r="E27" s="3" t="s">
        <v>381</v>
      </c>
      <c r="F27" s="3" t="s">
        <v>69</v>
      </c>
    </row>
    <row r="28" spans="1:6" ht="30" customHeight="1" x14ac:dyDescent="0.3">
      <c r="A28" s="5" t="s">
        <v>382</v>
      </c>
      <c r="B28" s="5" t="s">
        <v>383</v>
      </c>
      <c r="C28" s="4" t="s">
        <v>384</v>
      </c>
      <c r="D28" s="5" t="s">
        <v>25</v>
      </c>
      <c r="E28" s="5" t="s">
        <v>385</v>
      </c>
      <c r="F28" s="5" t="s">
        <v>69</v>
      </c>
    </row>
    <row r="29" spans="1:6" ht="30" customHeight="1" x14ac:dyDescent="0.3">
      <c r="A29" s="3" t="s">
        <v>386</v>
      </c>
      <c r="B29" s="3" t="s">
        <v>387</v>
      </c>
      <c r="C29" s="4">
        <v>0.22806699999999999</v>
      </c>
      <c r="D29" s="3" t="s">
        <v>49</v>
      </c>
      <c r="E29" s="3" t="s">
        <v>388</v>
      </c>
      <c r="F29" s="3" t="s">
        <v>234</v>
      </c>
    </row>
    <row r="30" spans="1:6" ht="18" customHeight="1" x14ac:dyDescent="0.3">
      <c r="A30" s="8" t="s">
        <v>389</v>
      </c>
      <c r="B30" s="7"/>
      <c r="C30" s="7"/>
      <c r="D30" s="7"/>
      <c r="E30" s="7"/>
      <c r="F30" s="7"/>
    </row>
    <row r="31" spans="1:6" ht="30" customHeight="1" x14ac:dyDescent="0.3">
      <c r="A31" s="3" t="s">
        <v>390</v>
      </c>
      <c r="B31" s="3" t="s">
        <v>391</v>
      </c>
      <c r="C31" s="4" t="s">
        <v>392</v>
      </c>
      <c r="D31" s="3" t="s">
        <v>25</v>
      </c>
      <c r="E31" s="3" t="s">
        <v>393</v>
      </c>
      <c r="F31" s="3" t="s">
        <v>69</v>
      </c>
    </row>
    <row r="32" spans="1:6" ht="30" customHeight="1" x14ac:dyDescent="0.3">
      <c r="A32" s="5" t="s">
        <v>394</v>
      </c>
      <c r="B32" s="5" t="s">
        <v>395</v>
      </c>
      <c r="C32" s="4" t="s">
        <v>396</v>
      </c>
      <c r="D32" s="5" t="s">
        <v>25</v>
      </c>
      <c r="E32" s="5" t="s">
        <v>397</v>
      </c>
      <c r="F32" s="5" t="s">
        <v>69</v>
      </c>
    </row>
    <row r="33" spans="1:6" ht="30" customHeight="1" x14ac:dyDescent="0.3">
      <c r="A33" s="3" t="s">
        <v>398</v>
      </c>
      <c r="B33" s="3" t="s">
        <v>399</v>
      </c>
      <c r="C33" s="4">
        <v>2.5000000000000001E-2</v>
      </c>
      <c r="D33" s="3" t="s">
        <v>25</v>
      </c>
      <c r="E33" s="3" t="s">
        <v>400</v>
      </c>
      <c r="F33" s="3" t="s">
        <v>401</v>
      </c>
    </row>
    <row r="34" spans="1:6" ht="30" customHeight="1" x14ac:dyDescent="0.3">
      <c r="A34" s="5" t="s">
        <v>402</v>
      </c>
      <c r="B34" s="5" t="s">
        <v>403</v>
      </c>
      <c r="C34" s="4">
        <v>-4.4999999999999998E-2</v>
      </c>
      <c r="D34" s="5" t="s">
        <v>25</v>
      </c>
      <c r="E34" s="5" t="s">
        <v>404</v>
      </c>
      <c r="F34" s="5" t="s">
        <v>405</v>
      </c>
    </row>
    <row r="35" spans="1:6" ht="18" customHeight="1" x14ac:dyDescent="0.3">
      <c r="A35" s="8" t="s">
        <v>406</v>
      </c>
      <c r="B35" s="7"/>
      <c r="C35" s="7"/>
      <c r="D35" s="7"/>
      <c r="E35" s="7"/>
      <c r="F35" s="7"/>
    </row>
    <row r="36" spans="1:6" ht="30" customHeight="1" x14ac:dyDescent="0.3">
      <c r="A36" s="5" t="s">
        <v>407</v>
      </c>
      <c r="B36" s="5" t="s">
        <v>408</v>
      </c>
      <c r="C36" s="4">
        <v>76.72</v>
      </c>
      <c r="D36" s="5" t="s">
        <v>255</v>
      </c>
      <c r="E36" s="5" t="s">
        <v>409</v>
      </c>
      <c r="F36" s="5" t="s">
        <v>410</v>
      </c>
    </row>
    <row r="37" spans="1:6" ht="30" customHeight="1" x14ac:dyDescent="0.3">
      <c r="A37" s="3" t="s">
        <v>411</v>
      </c>
      <c r="B37" s="3" t="s">
        <v>412</v>
      </c>
      <c r="C37" s="4">
        <v>7</v>
      </c>
      <c r="D37" s="3" t="s">
        <v>260</v>
      </c>
      <c r="E37" s="3" t="s">
        <v>413</v>
      </c>
      <c r="F37" s="3" t="s">
        <v>414</v>
      </c>
    </row>
  </sheetData>
  <mergeCells count="10">
    <mergeCell ref="A22:F22"/>
    <mergeCell ref="A35:F35"/>
    <mergeCell ref="A4:F4"/>
    <mergeCell ref="A26:F26"/>
    <mergeCell ref="A30:F30"/>
    <mergeCell ref="A2:F2"/>
    <mergeCell ref="A19:F19"/>
    <mergeCell ref="A14:F14"/>
    <mergeCell ref="A1:F1"/>
    <mergeCell ref="A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32" customWidth="1"/>
    <col min="2" max="2" width="4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9" t="s">
        <v>415</v>
      </c>
      <c r="B1" s="7"/>
      <c r="C1" s="7"/>
      <c r="D1" s="7"/>
      <c r="E1" s="7"/>
      <c r="F1" s="7"/>
    </row>
    <row r="2" spans="1:6" ht="22.05" customHeight="1" x14ac:dyDescent="0.3">
      <c r="A2" s="6" t="s">
        <v>416</v>
      </c>
      <c r="B2" s="7"/>
      <c r="C2" s="7"/>
      <c r="D2" s="7"/>
      <c r="E2" s="7"/>
      <c r="F2" s="7"/>
    </row>
    <row r="3" spans="1:6" ht="22.05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</row>
    <row r="4" spans="1:6" ht="18" customHeight="1" x14ac:dyDescent="0.3">
      <c r="A4" s="8" t="s">
        <v>417</v>
      </c>
      <c r="B4" s="7"/>
      <c r="C4" s="7"/>
      <c r="D4" s="7"/>
      <c r="E4" s="7"/>
      <c r="F4" s="7"/>
    </row>
    <row r="5" spans="1:6" ht="30" customHeight="1" x14ac:dyDescent="0.3">
      <c r="A5" s="3" t="s">
        <v>418</v>
      </c>
      <c r="B5" s="3" t="s">
        <v>419</v>
      </c>
      <c r="C5" s="4" t="s">
        <v>420</v>
      </c>
      <c r="D5" s="3" t="s">
        <v>69</v>
      </c>
      <c r="E5" s="3" t="s">
        <v>421</v>
      </c>
      <c r="F5" s="3" t="s">
        <v>422</v>
      </c>
    </row>
    <row r="6" spans="1:6" ht="30" customHeight="1" x14ac:dyDescent="0.3">
      <c r="A6" s="5" t="s">
        <v>423</v>
      </c>
      <c r="B6" s="5" t="s">
        <v>424</v>
      </c>
      <c r="C6" s="4">
        <v>43780</v>
      </c>
      <c r="D6" s="5" t="s">
        <v>425</v>
      </c>
      <c r="E6" s="5" t="s">
        <v>426</v>
      </c>
      <c r="F6" s="5" t="s">
        <v>427</v>
      </c>
    </row>
    <row r="7" spans="1:6" ht="30" customHeight="1" x14ac:dyDescent="0.3">
      <c r="A7" s="3" t="s">
        <v>428</v>
      </c>
      <c r="B7" s="3" t="s">
        <v>429</v>
      </c>
      <c r="C7" s="4">
        <v>0.01</v>
      </c>
      <c r="D7" s="3" t="s">
        <v>25</v>
      </c>
      <c r="E7" s="3" t="s">
        <v>430</v>
      </c>
      <c r="F7" s="3" t="s">
        <v>431</v>
      </c>
    </row>
    <row r="8" spans="1:6" ht="18" customHeight="1" x14ac:dyDescent="0.3">
      <c r="A8" s="8" t="s">
        <v>432</v>
      </c>
      <c r="B8" s="7"/>
      <c r="C8" s="7"/>
      <c r="D8" s="7"/>
      <c r="E8" s="7"/>
      <c r="F8" s="7"/>
    </row>
    <row r="9" spans="1:6" ht="30" customHeight="1" x14ac:dyDescent="0.3">
      <c r="A9" s="3" t="s">
        <v>433</v>
      </c>
      <c r="B9" s="3" t="s">
        <v>434</v>
      </c>
      <c r="C9" s="4" t="s">
        <v>420</v>
      </c>
      <c r="D9" s="3" t="s">
        <v>69</v>
      </c>
      <c r="E9" s="3" t="s">
        <v>435</v>
      </c>
      <c r="F9" s="3" t="s">
        <v>422</v>
      </c>
    </row>
    <row r="10" spans="1:6" ht="30" customHeight="1" x14ac:dyDescent="0.3">
      <c r="A10" s="5" t="s">
        <v>436</v>
      </c>
      <c r="B10" s="5" t="s">
        <v>437</v>
      </c>
      <c r="C10" s="4">
        <v>30650</v>
      </c>
      <c r="D10" s="5" t="s">
        <v>425</v>
      </c>
      <c r="E10" s="5" t="s">
        <v>438</v>
      </c>
      <c r="F10" s="5" t="s">
        <v>439</v>
      </c>
    </row>
    <row r="11" spans="1:6" ht="30" customHeight="1" x14ac:dyDescent="0.3">
      <c r="A11" s="3" t="s">
        <v>440</v>
      </c>
      <c r="B11" s="3" t="s">
        <v>441</v>
      </c>
      <c r="C11" s="4">
        <v>0.01</v>
      </c>
      <c r="D11" s="3" t="s">
        <v>25</v>
      </c>
      <c r="E11" s="3" t="s">
        <v>442</v>
      </c>
      <c r="F11" s="3" t="s">
        <v>431</v>
      </c>
    </row>
    <row r="12" spans="1:6" ht="18" customHeight="1" x14ac:dyDescent="0.3">
      <c r="A12" s="8" t="s">
        <v>443</v>
      </c>
      <c r="B12" s="7"/>
      <c r="C12" s="7"/>
      <c r="D12" s="7"/>
      <c r="E12" s="7"/>
      <c r="F12" s="7"/>
    </row>
    <row r="13" spans="1:6" ht="30" customHeight="1" x14ac:dyDescent="0.3">
      <c r="A13" s="3" t="s">
        <v>444</v>
      </c>
      <c r="B13" s="3" t="s">
        <v>445</v>
      </c>
      <c r="C13" s="4" t="s">
        <v>420</v>
      </c>
      <c r="D13" s="3" t="s">
        <v>69</v>
      </c>
      <c r="E13" s="3" t="s">
        <v>446</v>
      </c>
      <c r="F13" s="3" t="s">
        <v>422</v>
      </c>
    </row>
    <row r="14" spans="1:6" ht="30" customHeight="1" x14ac:dyDescent="0.3">
      <c r="A14" s="5" t="s">
        <v>447</v>
      </c>
      <c r="B14" s="5" t="s">
        <v>448</v>
      </c>
      <c r="C14" s="4">
        <v>5000</v>
      </c>
      <c r="D14" s="5" t="s">
        <v>449</v>
      </c>
      <c r="E14" s="5" t="s">
        <v>450</v>
      </c>
      <c r="F14" s="5" t="s">
        <v>451</v>
      </c>
    </row>
    <row r="15" spans="1:6" ht="30" customHeight="1" x14ac:dyDescent="0.3">
      <c r="A15" s="3" t="s">
        <v>452</v>
      </c>
      <c r="B15" s="3" t="s">
        <v>453</v>
      </c>
      <c r="C15" s="4">
        <v>1000000</v>
      </c>
      <c r="D15" s="3" t="s">
        <v>425</v>
      </c>
      <c r="E15" s="3" t="s">
        <v>454</v>
      </c>
      <c r="F15" s="3" t="s">
        <v>455</v>
      </c>
    </row>
    <row r="16" spans="1:6" ht="30" customHeight="1" x14ac:dyDescent="0.3">
      <c r="A16" s="5" t="s">
        <v>456</v>
      </c>
      <c r="B16" s="5" t="s">
        <v>457</v>
      </c>
      <c r="C16" s="4">
        <v>1000000</v>
      </c>
      <c r="D16" s="5" t="s">
        <v>425</v>
      </c>
      <c r="E16" s="5" t="s">
        <v>458</v>
      </c>
      <c r="F16" s="5" t="s">
        <v>455</v>
      </c>
    </row>
    <row r="17" spans="1:6" ht="30" customHeight="1" x14ac:dyDescent="0.3">
      <c r="A17" s="3" t="s">
        <v>459</v>
      </c>
      <c r="B17" s="3" t="s">
        <v>460</v>
      </c>
      <c r="C17" s="3">
        <f>SuspA1_Linkage_F!C25</f>
        <v>5.2778799999999997</v>
      </c>
      <c r="D17" s="3" t="s">
        <v>25</v>
      </c>
      <c r="E17" s="3" t="s">
        <v>461</v>
      </c>
      <c r="F17" s="3" t="s">
        <v>462</v>
      </c>
    </row>
    <row r="18" spans="1:6" ht="30" customHeight="1" x14ac:dyDescent="0.3">
      <c r="A18" s="5" t="s">
        <v>463</v>
      </c>
      <c r="B18" s="5" t="s">
        <v>464</v>
      </c>
      <c r="C18" s="5">
        <f>SuspA1_Linkage_F!C26</f>
        <v>0</v>
      </c>
      <c r="D18" s="5" t="s">
        <v>25</v>
      </c>
      <c r="E18" s="5" t="s">
        <v>465</v>
      </c>
      <c r="F18" s="5" t="s">
        <v>462</v>
      </c>
    </row>
    <row r="19" spans="1:6" ht="18" customHeight="1" x14ac:dyDescent="0.3">
      <c r="A19" s="8" t="s">
        <v>466</v>
      </c>
      <c r="B19" s="7"/>
      <c r="C19" s="7"/>
      <c r="D19" s="7"/>
      <c r="E19" s="7"/>
      <c r="F19" s="7"/>
    </row>
    <row r="20" spans="1:6" ht="30" customHeight="1" x14ac:dyDescent="0.3">
      <c r="A20" s="5" t="s">
        <v>467</v>
      </c>
      <c r="B20" s="5" t="s">
        <v>468</v>
      </c>
      <c r="C20" s="4" t="s">
        <v>420</v>
      </c>
      <c r="D20" s="5" t="s">
        <v>69</v>
      </c>
      <c r="E20" s="5" t="s">
        <v>469</v>
      </c>
      <c r="F20" s="5" t="s">
        <v>422</v>
      </c>
    </row>
    <row r="21" spans="1:6" ht="30" customHeight="1" x14ac:dyDescent="0.3">
      <c r="A21" s="3" t="s">
        <v>470</v>
      </c>
      <c r="B21" s="3" t="s">
        <v>471</v>
      </c>
      <c r="C21" s="4">
        <v>5000</v>
      </c>
      <c r="D21" s="3" t="s">
        <v>449</v>
      </c>
      <c r="E21" s="3" t="s">
        <v>472</v>
      </c>
      <c r="F21" s="3" t="s">
        <v>451</v>
      </c>
    </row>
    <row r="22" spans="1:6" ht="30" customHeight="1" x14ac:dyDescent="0.3">
      <c r="A22" s="5" t="s">
        <v>473</v>
      </c>
      <c r="B22" s="5" t="s">
        <v>474</v>
      </c>
      <c r="C22" s="5">
        <f>SuspA2_Linkage_R!C33</f>
        <v>2.5000000000000001E-2</v>
      </c>
      <c r="D22" s="5" t="s">
        <v>25</v>
      </c>
      <c r="E22" s="5" t="s">
        <v>475</v>
      </c>
      <c r="F22" s="5" t="s">
        <v>476</v>
      </c>
    </row>
    <row r="23" spans="1:6" ht="30" customHeight="1" x14ac:dyDescent="0.3">
      <c r="A23" s="3" t="s">
        <v>477</v>
      </c>
      <c r="B23" s="3" t="s">
        <v>478</v>
      </c>
      <c r="C23" s="3">
        <f>SuspA2_Linkage_R!C34</f>
        <v>-4.4999999999999998E-2</v>
      </c>
      <c r="D23" s="3" t="s">
        <v>25</v>
      </c>
      <c r="E23" s="3" t="s">
        <v>475</v>
      </c>
      <c r="F23" s="3" t="s">
        <v>476</v>
      </c>
    </row>
  </sheetData>
  <mergeCells count="6">
    <mergeCell ref="A2:F2"/>
    <mergeCell ref="A19:F19"/>
    <mergeCell ref="A1:F1"/>
    <mergeCell ref="A8:F8"/>
    <mergeCell ref="A12:F12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32" customWidth="1"/>
    <col min="2" max="2" width="4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9" t="s">
        <v>479</v>
      </c>
      <c r="B1" s="7"/>
      <c r="C1" s="7"/>
      <c r="D1" s="7"/>
      <c r="E1" s="7"/>
      <c r="F1" s="7"/>
    </row>
    <row r="2" spans="1:6" ht="22.05" customHeight="1" x14ac:dyDescent="0.3">
      <c r="A2" s="6" t="s">
        <v>480</v>
      </c>
      <c r="B2" s="7"/>
      <c r="C2" s="7"/>
      <c r="D2" s="7"/>
      <c r="E2" s="7"/>
      <c r="F2" s="7"/>
    </row>
    <row r="3" spans="1:6" ht="22.05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</row>
    <row r="4" spans="1:6" ht="18" customHeight="1" x14ac:dyDescent="0.3">
      <c r="A4" s="8" t="s">
        <v>481</v>
      </c>
      <c r="B4" s="7"/>
      <c r="C4" s="7"/>
      <c r="D4" s="7"/>
      <c r="E4" s="7"/>
      <c r="F4" s="7"/>
    </row>
    <row r="5" spans="1:6" ht="30" customHeight="1" x14ac:dyDescent="0.3">
      <c r="A5" s="3" t="s">
        <v>482</v>
      </c>
      <c r="B5" s="3" t="s">
        <v>483</v>
      </c>
      <c r="C5" s="4" t="s">
        <v>484</v>
      </c>
      <c r="D5" s="3" t="s">
        <v>69</v>
      </c>
      <c r="E5" s="3" t="s">
        <v>485</v>
      </c>
      <c r="F5" s="3" t="s">
        <v>486</v>
      </c>
    </row>
    <row r="6" spans="1:6" ht="30" customHeight="1" x14ac:dyDescent="0.3">
      <c r="A6" s="5" t="s">
        <v>487</v>
      </c>
      <c r="B6" s="5" t="s">
        <v>488</v>
      </c>
      <c r="C6" s="4" t="s">
        <v>489</v>
      </c>
      <c r="D6" s="5" t="s">
        <v>69</v>
      </c>
      <c r="E6" s="5" t="s">
        <v>490</v>
      </c>
      <c r="F6" s="5" t="s">
        <v>491</v>
      </c>
    </row>
    <row r="7" spans="1:6" ht="30" customHeight="1" x14ac:dyDescent="0.3">
      <c r="A7" s="3" t="s">
        <v>492</v>
      </c>
      <c r="B7" s="3" t="s">
        <v>493</v>
      </c>
      <c r="C7" s="4">
        <v>10</v>
      </c>
      <c r="D7" s="3" t="s">
        <v>49</v>
      </c>
      <c r="E7" s="3" t="s">
        <v>494</v>
      </c>
      <c r="F7" s="3" t="s">
        <v>495</v>
      </c>
    </row>
    <row r="8" spans="1:6" ht="30" customHeight="1" x14ac:dyDescent="0.3">
      <c r="A8" s="5" t="s">
        <v>496</v>
      </c>
      <c r="B8" s="5" t="s">
        <v>497</v>
      </c>
      <c r="C8" s="4" t="s">
        <v>498</v>
      </c>
      <c r="D8" s="5" t="s">
        <v>54</v>
      </c>
      <c r="E8" s="5" t="s">
        <v>499</v>
      </c>
      <c r="F8" s="5" t="s">
        <v>69</v>
      </c>
    </row>
    <row r="9" spans="1:6" ht="30" customHeight="1" x14ac:dyDescent="0.3">
      <c r="A9" s="3" t="s">
        <v>500</v>
      </c>
      <c r="B9" s="3" t="s">
        <v>501</v>
      </c>
      <c r="C9" s="4" t="s">
        <v>502</v>
      </c>
      <c r="D9" s="3" t="s">
        <v>69</v>
      </c>
      <c r="E9" s="3" t="s">
        <v>503</v>
      </c>
      <c r="F9" s="3" t="s">
        <v>502</v>
      </c>
    </row>
    <row r="10" spans="1:6" ht="30" customHeight="1" x14ac:dyDescent="0.3">
      <c r="A10" s="5" t="s">
        <v>504</v>
      </c>
      <c r="B10" s="5" t="s">
        <v>505</v>
      </c>
      <c r="C10" s="4">
        <v>0.01</v>
      </c>
      <c r="D10" s="5" t="s">
        <v>506</v>
      </c>
      <c r="E10" s="5" t="s">
        <v>507</v>
      </c>
      <c r="F10" s="5" t="s">
        <v>508</v>
      </c>
    </row>
    <row r="11" spans="1:6" ht="18" customHeight="1" x14ac:dyDescent="0.3">
      <c r="A11" s="8" t="s">
        <v>509</v>
      </c>
      <c r="B11" s="7"/>
      <c r="C11" s="7"/>
      <c r="D11" s="7"/>
      <c r="E11" s="7"/>
      <c r="F11" s="7"/>
    </row>
    <row r="12" spans="1:6" ht="30" customHeight="1" x14ac:dyDescent="0.3">
      <c r="A12" s="5" t="s">
        <v>510</v>
      </c>
      <c r="B12" s="5" t="s">
        <v>511</v>
      </c>
      <c r="C12" s="4" t="s">
        <v>484</v>
      </c>
      <c r="D12" s="5" t="s">
        <v>69</v>
      </c>
      <c r="E12" s="5" t="s">
        <v>512</v>
      </c>
      <c r="F12" s="5" t="s">
        <v>486</v>
      </c>
    </row>
    <row r="13" spans="1:6" ht="30" customHeight="1" x14ac:dyDescent="0.3">
      <c r="A13" s="3" t="s">
        <v>513</v>
      </c>
      <c r="B13" s="3" t="s">
        <v>514</v>
      </c>
      <c r="C13" s="4" t="s">
        <v>489</v>
      </c>
      <c r="D13" s="3" t="s">
        <v>69</v>
      </c>
      <c r="E13" s="3" t="s">
        <v>515</v>
      </c>
      <c r="F13" s="3" t="s">
        <v>491</v>
      </c>
    </row>
    <row r="14" spans="1:6" ht="30" customHeight="1" x14ac:dyDescent="0.3">
      <c r="A14" s="5" t="s">
        <v>516</v>
      </c>
      <c r="B14" s="5" t="s">
        <v>517</v>
      </c>
      <c r="C14" s="4">
        <v>10</v>
      </c>
      <c r="D14" s="5" t="s">
        <v>49</v>
      </c>
      <c r="E14" s="5" t="s">
        <v>518</v>
      </c>
      <c r="F14" s="5" t="s">
        <v>495</v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3"/>
  <sheetViews>
    <sheetView showGridLines="0" tabSelected="1" workbookViewId="0">
      <pane ySplit="4" topLeftCell="A8" activePane="bottomLeft" state="frozen"/>
      <selection pane="bottomLeft" activeCell="C9" sqref="C9"/>
    </sheetView>
  </sheetViews>
  <sheetFormatPr defaultRowHeight="14.4" x14ac:dyDescent="0.3"/>
  <cols>
    <col min="1" max="1" width="32" customWidth="1"/>
    <col min="2" max="2" width="4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9" t="s">
        <v>519</v>
      </c>
      <c r="B1" s="7"/>
      <c r="C1" s="7"/>
      <c r="D1" s="7"/>
      <c r="E1" s="7"/>
      <c r="F1" s="7"/>
    </row>
    <row r="2" spans="1:6" ht="22.05" customHeight="1" x14ac:dyDescent="0.3">
      <c r="A2" s="6" t="s">
        <v>520</v>
      </c>
      <c r="B2" s="7"/>
      <c r="C2" s="7"/>
      <c r="D2" s="7"/>
      <c r="E2" s="7"/>
      <c r="F2" s="7"/>
    </row>
    <row r="3" spans="1:6" ht="22.05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</row>
    <row r="4" spans="1:6" ht="18" customHeight="1" x14ac:dyDescent="0.3">
      <c r="A4" s="8" t="s">
        <v>521</v>
      </c>
      <c r="B4" s="7"/>
      <c r="C4" s="7"/>
      <c r="D4" s="7"/>
      <c r="E4" s="7"/>
      <c r="F4" s="7"/>
    </row>
    <row r="5" spans="1:6" ht="30" customHeight="1" x14ac:dyDescent="0.3">
      <c r="A5" s="3" t="s">
        <v>522</v>
      </c>
      <c r="B5" s="3" t="s">
        <v>523</v>
      </c>
      <c r="C5" s="4" t="s">
        <v>524</v>
      </c>
      <c r="D5" s="3" t="s">
        <v>69</v>
      </c>
      <c r="E5" s="3" t="s">
        <v>525</v>
      </c>
      <c r="F5" s="3" t="s">
        <v>524</v>
      </c>
    </row>
    <row r="6" spans="1:6" ht="30" customHeight="1" x14ac:dyDescent="0.3">
      <c r="A6" s="5" t="s">
        <v>526</v>
      </c>
      <c r="B6" s="5" t="s">
        <v>527</v>
      </c>
      <c r="C6" s="4">
        <v>293</v>
      </c>
      <c r="D6" s="5" t="s">
        <v>528</v>
      </c>
      <c r="E6" s="5" t="s">
        <v>529</v>
      </c>
      <c r="F6" s="5" t="s">
        <v>530</v>
      </c>
    </row>
    <row r="7" spans="1:6" ht="18" customHeight="1" x14ac:dyDescent="0.3">
      <c r="A7" s="8" t="s">
        <v>531</v>
      </c>
      <c r="B7" s="7"/>
      <c r="C7" s="7"/>
      <c r="D7" s="7"/>
      <c r="E7" s="7"/>
      <c r="F7" s="7"/>
    </row>
    <row r="8" spans="1:6" ht="30" customHeight="1" x14ac:dyDescent="0.3">
      <c r="A8" s="5" t="s">
        <v>532</v>
      </c>
      <c r="B8" s="5" t="s">
        <v>533</v>
      </c>
      <c r="C8" s="4">
        <v>300</v>
      </c>
      <c r="D8" s="5" t="s">
        <v>534</v>
      </c>
      <c r="E8" s="5" t="s">
        <v>535</v>
      </c>
      <c r="F8" s="5" t="s">
        <v>536</v>
      </c>
    </row>
    <row r="9" spans="1:6" ht="30" customHeight="1" x14ac:dyDescent="0.3">
      <c r="A9" s="3" t="s">
        <v>537</v>
      </c>
      <c r="B9" s="3" t="s">
        <v>538</v>
      </c>
      <c r="C9" t="s">
        <v>639</v>
      </c>
      <c r="D9" s="3" t="s">
        <v>539</v>
      </c>
      <c r="E9" s="3" t="s">
        <v>540</v>
      </c>
      <c r="F9" s="3" t="s">
        <v>69</v>
      </c>
    </row>
    <row r="10" spans="1:6" ht="30" customHeight="1" x14ac:dyDescent="0.3">
      <c r="A10" s="5" t="s">
        <v>541</v>
      </c>
      <c r="B10" s="5" t="s">
        <v>542</v>
      </c>
      <c r="C10" s="4">
        <v>0</v>
      </c>
      <c r="D10" s="5" t="s">
        <v>54</v>
      </c>
      <c r="E10" s="5" t="s">
        <v>543</v>
      </c>
      <c r="F10" s="5" t="s">
        <v>544</v>
      </c>
    </row>
    <row r="11" spans="1:6" ht="30" customHeight="1" x14ac:dyDescent="0.3">
      <c r="A11" s="3" t="s">
        <v>545</v>
      </c>
      <c r="B11" s="3" t="s">
        <v>546</v>
      </c>
      <c r="C11" s="4">
        <v>50</v>
      </c>
      <c r="D11" s="3" t="s">
        <v>282</v>
      </c>
      <c r="E11" s="3" t="s">
        <v>547</v>
      </c>
      <c r="F11" s="3" t="s">
        <v>548</v>
      </c>
    </row>
    <row r="12" spans="1:6" ht="18" customHeight="1" x14ac:dyDescent="0.3">
      <c r="A12" s="8" t="s">
        <v>549</v>
      </c>
      <c r="B12" s="7"/>
      <c r="C12" s="7"/>
      <c r="D12" s="7"/>
      <c r="E12" s="7"/>
      <c r="F12" s="7"/>
    </row>
    <row r="13" spans="1:6" ht="30" customHeight="1" x14ac:dyDescent="0.3">
      <c r="A13" s="3" t="s">
        <v>550</v>
      </c>
      <c r="B13" s="3" t="s">
        <v>551</v>
      </c>
      <c r="C13" s="4">
        <v>200</v>
      </c>
      <c r="D13" s="3" t="s">
        <v>534</v>
      </c>
      <c r="E13" s="3" t="s">
        <v>552</v>
      </c>
      <c r="F13" s="3" t="s">
        <v>553</v>
      </c>
    </row>
    <row r="14" spans="1:6" ht="18" customHeight="1" x14ac:dyDescent="0.3">
      <c r="A14" s="8" t="s">
        <v>554</v>
      </c>
      <c r="B14" s="7"/>
      <c r="C14" s="7"/>
      <c r="D14" s="7"/>
      <c r="E14" s="7"/>
      <c r="F14" s="7"/>
    </row>
    <row r="15" spans="1:6" ht="30" customHeight="1" x14ac:dyDescent="0.3">
      <c r="A15" s="3" t="s">
        <v>555</v>
      </c>
      <c r="B15" s="3" t="s">
        <v>556</v>
      </c>
      <c r="C15" s="4">
        <v>0.8</v>
      </c>
      <c r="D15" s="3" t="s">
        <v>557</v>
      </c>
      <c r="E15" s="3" t="s">
        <v>558</v>
      </c>
      <c r="F15" s="3" t="s">
        <v>559</v>
      </c>
    </row>
    <row r="16" spans="1:6" ht="30" customHeight="1" x14ac:dyDescent="0.3">
      <c r="A16" s="5" t="s">
        <v>560</v>
      </c>
      <c r="B16" s="5" t="s">
        <v>561</v>
      </c>
      <c r="C16" s="4">
        <v>650</v>
      </c>
      <c r="D16" s="5" t="s">
        <v>562</v>
      </c>
      <c r="E16" s="5" t="s">
        <v>563</v>
      </c>
      <c r="F16" s="5" t="s">
        <v>564</v>
      </c>
    </row>
    <row r="17" spans="1:6" ht="30" customHeight="1" x14ac:dyDescent="0.3">
      <c r="A17" s="3" t="s">
        <v>565</v>
      </c>
      <c r="B17" s="3" t="s">
        <v>566</v>
      </c>
      <c r="C17" s="4">
        <v>60000</v>
      </c>
      <c r="D17" s="3" t="s">
        <v>567</v>
      </c>
      <c r="E17" s="3" t="s">
        <v>568</v>
      </c>
      <c r="F17" s="3" t="s">
        <v>569</v>
      </c>
    </row>
    <row r="18" spans="1:6" ht="30" customHeight="1" x14ac:dyDescent="0.3">
      <c r="A18" s="5" t="s">
        <v>570</v>
      </c>
      <c r="B18" s="5" t="s">
        <v>571</v>
      </c>
      <c r="C18" s="4">
        <v>98</v>
      </c>
      <c r="D18" s="5" t="s">
        <v>572</v>
      </c>
      <c r="E18" s="5" t="s">
        <v>573</v>
      </c>
      <c r="F18" s="5" t="s">
        <v>574</v>
      </c>
    </row>
    <row r="19" spans="1:6" ht="18" customHeight="1" x14ac:dyDescent="0.3">
      <c r="A19" s="8" t="s">
        <v>575</v>
      </c>
      <c r="B19" s="7"/>
      <c r="C19" s="7"/>
      <c r="D19" s="7"/>
      <c r="E19" s="7"/>
      <c r="F19" s="7"/>
    </row>
    <row r="20" spans="1:6" ht="30" customHeight="1" x14ac:dyDescent="0.3">
      <c r="A20" s="5" t="s">
        <v>576</v>
      </c>
      <c r="B20" s="5" t="s">
        <v>577</v>
      </c>
      <c r="C20" s="4">
        <v>2</v>
      </c>
      <c r="D20" s="5" t="s">
        <v>69</v>
      </c>
      <c r="E20" s="5" t="s">
        <v>578</v>
      </c>
      <c r="F20" s="5" t="s">
        <v>579</v>
      </c>
    </row>
    <row r="21" spans="1:6" ht="30" customHeight="1" x14ac:dyDescent="0.3">
      <c r="A21" s="3" t="s">
        <v>580</v>
      </c>
      <c r="B21" s="3" t="s">
        <v>581</v>
      </c>
      <c r="C21" s="4">
        <v>2</v>
      </c>
      <c r="D21" s="3" t="s">
        <v>69</v>
      </c>
      <c r="E21" s="3" t="s">
        <v>582</v>
      </c>
      <c r="F21" s="3" t="s">
        <v>579</v>
      </c>
    </row>
    <row r="22" spans="1:6" ht="30" customHeight="1" x14ac:dyDescent="0.3">
      <c r="A22" s="5" t="s">
        <v>583</v>
      </c>
      <c r="B22" s="5" t="s">
        <v>584</v>
      </c>
      <c r="C22" s="4">
        <v>2</v>
      </c>
      <c r="D22" s="5" t="s">
        <v>69</v>
      </c>
      <c r="E22" s="5" t="s">
        <v>585</v>
      </c>
      <c r="F22" s="5" t="s">
        <v>579</v>
      </c>
    </row>
    <row r="23" spans="1:6" ht="30" customHeight="1" x14ac:dyDescent="0.3">
      <c r="A23" s="3" t="s">
        <v>586</v>
      </c>
      <c r="B23" s="3" t="s">
        <v>587</v>
      </c>
      <c r="C23" s="4">
        <v>2</v>
      </c>
      <c r="D23" s="3" t="s">
        <v>69</v>
      </c>
      <c r="E23" s="3" t="s">
        <v>588</v>
      </c>
      <c r="F23" s="3" t="s">
        <v>579</v>
      </c>
    </row>
  </sheetData>
  <mergeCells count="7">
    <mergeCell ref="A2:F2"/>
    <mergeCell ref="A19:F19"/>
    <mergeCell ref="A14:F14"/>
    <mergeCell ref="A1:F1"/>
    <mergeCell ref="A12:F12"/>
    <mergeCell ref="A4:F4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showGridLines="0" workbookViewId="0">
      <pane ySplit="4" topLeftCell="A10" activePane="bottomLeft" state="frozen"/>
      <selection pane="bottomLeft" sqref="A1:F1"/>
    </sheetView>
  </sheetViews>
  <sheetFormatPr defaultRowHeight="14.4" x14ac:dyDescent="0.3"/>
  <cols>
    <col min="1" max="1" width="32" customWidth="1"/>
    <col min="2" max="2" width="45" customWidth="1"/>
    <col min="3" max="3" width="18" customWidth="1"/>
    <col min="4" max="4" width="12" customWidth="1"/>
    <col min="5" max="5" width="55" customWidth="1"/>
    <col min="6" max="6" width="25" customWidth="1"/>
  </cols>
  <sheetData>
    <row r="1" spans="1:6" ht="30" customHeight="1" x14ac:dyDescent="0.3">
      <c r="A1" s="9" t="s">
        <v>589</v>
      </c>
      <c r="B1" s="7"/>
      <c r="C1" s="7"/>
      <c r="D1" s="7"/>
      <c r="E1" s="7"/>
      <c r="F1" s="7"/>
    </row>
    <row r="2" spans="1:6" ht="22.05" customHeight="1" x14ac:dyDescent="0.3">
      <c r="A2" s="6" t="s">
        <v>590</v>
      </c>
      <c r="B2" s="7"/>
      <c r="C2" s="7"/>
      <c r="D2" s="7"/>
      <c r="E2" s="7"/>
      <c r="F2" s="7"/>
    </row>
    <row r="3" spans="1:6" ht="22.05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</row>
    <row r="4" spans="1:6" ht="18" customHeight="1" x14ac:dyDescent="0.3">
      <c r="A4" s="8" t="s">
        <v>591</v>
      </c>
      <c r="B4" s="7"/>
      <c r="C4" s="7"/>
      <c r="D4" s="7"/>
      <c r="E4" s="7"/>
      <c r="F4" s="7"/>
    </row>
    <row r="5" spans="1:6" ht="30" customHeight="1" x14ac:dyDescent="0.3">
      <c r="A5" s="3" t="s">
        <v>592</v>
      </c>
      <c r="B5" s="3" t="s">
        <v>593</v>
      </c>
      <c r="C5" s="4">
        <v>0.15</v>
      </c>
      <c r="D5" s="3" t="s">
        <v>25</v>
      </c>
      <c r="E5" s="3" t="s">
        <v>594</v>
      </c>
      <c r="F5" s="3" t="s">
        <v>595</v>
      </c>
    </row>
    <row r="6" spans="1:6" ht="30" customHeight="1" x14ac:dyDescent="0.3">
      <c r="A6" s="5" t="s">
        <v>596</v>
      </c>
      <c r="B6" s="5" t="s">
        <v>597</v>
      </c>
      <c r="C6" s="4">
        <v>0.7</v>
      </c>
      <c r="D6" s="5" t="s">
        <v>69</v>
      </c>
      <c r="E6" s="5" t="s">
        <v>598</v>
      </c>
      <c r="F6" s="5" t="s">
        <v>599</v>
      </c>
    </row>
    <row r="7" spans="1:6" ht="30" customHeight="1" x14ac:dyDescent="0.3">
      <c r="A7" s="3" t="s">
        <v>600</v>
      </c>
      <c r="B7" s="3" t="s">
        <v>601</v>
      </c>
      <c r="C7" s="4">
        <v>0.5</v>
      </c>
      <c r="D7" s="3" t="s">
        <v>69</v>
      </c>
      <c r="E7" s="3" t="s">
        <v>602</v>
      </c>
      <c r="F7" s="3" t="s">
        <v>603</v>
      </c>
    </row>
    <row r="8" spans="1:6" ht="30" customHeight="1" x14ac:dyDescent="0.3">
      <c r="A8" s="5" t="s">
        <v>604</v>
      </c>
      <c r="B8" s="5" t="s">
        <v>605</v>
      </c>
      <c r="C8" s="4">
        <v>4</v>
      </c>
      <c r="D8" s="5" t="s">
        <v>69</v>
      </c>
      <c r="E8" s="5" t="s">
        <v>606</v>
      </c>
      <c r="F8" s="5" t="s">
        <v>607</v>
      </c>
    </row>
    <row r="9" spans="1:6" ht="30" customHeight="1" x14ac:dyDescent="0.3">
      <c r="A9" s="3" t="s">
        <v>608</v>
      </c>
      <c r="B9" s="3" t="s">
        <v>609</v>
      </c>
      <c r="C9" s="4">
        <v>1.2500000000000001E-2</v>
      </c>
      <c r="D9" s="3" t="s">
        <v>25</v>
      </c>
      <c r="E9" s="3" t="s">
        <v>610</v>
      </c>
      <c r="F9" s="3" t="s">
        <v>611</v>
      </c>
    </row>
    <row r="10" spans="1:6" ht="30" customHeight="1" x14ac:dyDescent="0.3">
      <c r="A10" s="5" t="s">
        <v>612</v>
      </c>
      <c r="B10" s="5" t="s">
        <v>613</v>
      </c>
      <c r="C10" s="4">
        <v>85</v>
      </c>
      <c r="D10" s="5" t="s">
        <v>614</v>
      </c>
      <c r="E10" s="5" t="s">
        <v>615</v>
      </c>
      <c r="F10" s="5" t="s">
        <v>616</v>
      </c>
    </row>
    <row r="11" spans="1:6" ht="18" customHeight="1" x14ac:dyDescent="0.3">
      <c r="A11" s="8" t="s">
        <v>617</v>
      </c>
      <c r="B11" s="7"/>
      <c r="C11" s="7"/>
      <c r="D11" s="7"/>
      <c r="E11" s="7"/>
      <c r="F11" s="7"/>
    </row>
    <row r="12" spans="1:6" ht="30" customHeight="1" x14ac:dyDescent="0.3">
      <c r="A12" s="5" t="s">
        <v>618</v>
      </c>
      <c r="B12" s="5" t="s">
        <v>619</v>
      </c>
      <c r="C12" s="4">
        <v>0.1</v>
      </c>
      <c r="D12" s="5" t="s">
        <v>25</v>
      </c>
      <c r="E12" s="5" t="s">
        <v>620</v>
      </c>
      <c r="F12" s="5" t="s">
        <v>621</v>
      </c>
    </row>
    <row r="13" spans="1:6" ht="30" customHeight="1" x14ac:dyDescent="0.3">
      <c r="A13" s="3" t="s">
        <v>622</v>
      </c>
      <c r="B13" s="3" t="s">
        <v>623</v>
      </c>
      <c r="C13" s="4">
        <v>0.7</v>
      </c>
      <c r="D13" s="3" t="s">
        <v>69</v>
      </c>
      <c r="E13" s="3" t="s">
        <v>624</v>
      </c>
      <c r="F13" s="3" t="s">
        <v>599</v>
      </c>
    </row>
    <row r="14" spans="1:6" ht="30" customHeight="1" x14ac:dyDescent="0.3">
      <c r="A14" s="5" t="s">
        <v>625</v>
      </c>
      <c r="B14" s="5" t="s">
        <v>626</v>
      </c>
      <c r="C14" s="4">
        <v>0.5</v>
      </c>
      <c r="D14" s="5" t="s">
        <v>69</v>
      </c>
      <c r="E14" s="5" t="s">
        <v>627</v>
      </c>
      <c r="F14" s="5" t="s">
        <v>603</v>
      </c>
    </row>
    <row r="15" spans="1:6" ht="30" customHeight="1" x14ac:dyDescent="0.3">
      <c r="A15" s="3" t="s">
        <v>628</v>
      </c>
      <c r="B15" s="3" t="s">
        <v>629</v>
      </c>
      <c r="C15" s="4">
        <v>2</v>
      </c>
      <c r="D15" s="3" t="s">
        <v>69</v>
      </c>
      <c r="E15" s="3" t="s">
        <v>630</v>
      </c>
      <c r="F15" s="3" t="s">
        <v>631</v>
      </c>
    </row>
    <row r="16" spans="1:6" ht="30" customHeight="1" x14ac:dyDescent="0.3">
      <c r="A16" s="5" t="s">
        <v>632</v>
      </c>
      <c r="B16" s="5" t="s">
        <v>633</v>
      </c>
      <c r="C16" s="4">
        <v>1.2500000000000001E-2</v>
      </c>
      <c r="D16" s="5" t="s">
        <v>25</v>
      </c>
      <c r="E16" s="5" t="s">
        <v>634</v>
      </c>
      <c r="F16" s="5" t="s">
        <v>611</v>
      </c>
    </row>
    <row r="17" spans="1:6" ht="30" customHeight="1" x14ac:dyDescent="0.3">
      <c r="A17" s="3" t="s">
        <v>635</v>
      </c>
      <c r="B17" s="3" t="s">
        <v>636</v>
      </c>
      <c r="C17" s="4">
        <v>57</v>
      </c>
      <c r="D17" s="3" t="s">
        <v>614</v>
      </c>
      <c r="E17" s="3" t="s">
        <v>637</v>
      </c>
      <c r="F17" s="3" t="s">
        <v>638</v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INFO</vt:lpstr>
      <vt:lpstr>Body</vt:lpstr>
      <vt:lpstr>Aero</vt:lpstr>
      <vt:lpstr>SuspA1_Linkage_F</vt:lpstr>
      <vt:lpstr>SuspA1_ARB_Steer</vt:lpstr>
      <vt:lpstr>SuspA2_Linkage_R</vt:lpstr>
      <vt:lpstr>Spring_Damper</vt:lpstr>
      <vt:lpstr>Tires</vt:lpstr>
      <vt:lpstr>Powertrain</vt:lpstr>
      <vt:lpstr>Brakes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Lukáš Egr</cp:lastModifiedBy>
  <dcterms:created xsi:type="dcterms:W3CDTF">2026-04-01T10:30:21Z</dcterms:created>
  <dcterms:modified xsi:type="dcterms:W3CDTF">2026-04-02T09:20:59Z</dcterms:modified>
</cp:coreProperties>
</file>